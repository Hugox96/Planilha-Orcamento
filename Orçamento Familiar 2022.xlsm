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comments1.xml" ContentType="application/vnd.openxmlformats-officedocument.spreadsheetml.comment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3.xml" ContentType="application/vnd.openxmlformats-officedocument.drawing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comments2.xml" ContentType="application/vnd.openxmlformats-officedocument.spreadsheetml.comments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4.xml" ContentType="application/vnd.openxmlformats-officedocument.drawing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comments3.xml" ContentType="application/vnd.openxmlformats-officedocument.spreadsheetml.comments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5.xml" ContentType="application/vnd.openxmlformats-officedocument.drawing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tables/table30.xml" ContentType="application/vnd.openxmlformats-officedocument.spreadsheetml.table+xml"/>
  <Override PartName="/xl/tables/table31.xml" ContentType="application/vnd.openxmlformats-officedocument.spreadsheetml.table+xml"/>
  <Override PartName="/xl/tables/table32.xml" ContentType="application/vnd.openxmlformats-officedocument.spreadsheetml.table+xml"/>
  <Override PartName="/xl/tables/table33.xml" ContentType="application/vnd.openxmlformats-officedocument.spreadsheetml.table+xml"/>
  <Override PartName="/xl/tables/table34.xml" ContentType="application/vnd.openxmlformats-officedocument.spreadsheetml.table+xml"/>
  <Override PartName="/xl/tables/table35.xml" ContentType="application/vnd.openxmlformats-officedocument.spreadsheetml.table+xml"/>
  <Override PartName="/xl/comments4.xml" ContentType="application/vnd.openxmlformats-officedocument.spreadsheetml.comments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6.xml" ContentType="application/vnd.openxmlformats-officedocument.drawing+xml"/>
  <Override PartName="/xl/tables/table36.xml" ContentType="application/vnd.openxmlformats-officedocument.spreadsheetml.table+xml"/>
  <Override PartName="/xl/tables/table37.xml" ContentType="application/vnd.openxmlformats-officedocument.spreadsheetml.table+xml"/>
  <Override PartName="/xl/tables/table38.xml" ContentType="application/vnd.openxmlformats-officedocument.spreadsheetml.table+xml"/>
  <Override PartName="/xl/tables/table39.xml" ContentType="application/vnd.openxmlformats-officedocument.spreadsheetml.table+xml"/>
  <Override PartName="/xl/tables/table40.xml" ContentType="application/vnd.openxmlformats-officedocument.spreadsheetml.table+xml"/>
  <Override PartName="/xl/tables/table41.xml" ContentType="application/vnd.openxmlformats-officedocument.spreadsheetml.table+xml"/>
  <Override PartName="/xl/tables/table42.xml" ContentType="application/vnd.openxmlformats-officedocument.spreadsheetml.table+xml"/>
  <Override PartName="/xl/tables/table43.xml" ContentType="application/vnd.openxmlformats-officedocument.spreadsheetml.table+xml"/>
  <Override PartName="/xl/comments5.xml" ContentType="application/vnd.openxmlformats-officedocument.spreadsheetml.comments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7.xml" ContentType="application/vnd.openxmlformats-officedocument.drawing+xml"/>
  <Override PartName="/xl/tables/table44.xml" ContentType="application/vnd.openxmlformats-officedocument.spreadsheetml.table+xml"/>
  <Override PartName="/xl/tables/table45.xml" ContentType="application/vnd.openxmlformats-officedocument.spreadsheetml.table+xml"/>
  <Override PartName="/xl/tables/table46.xml" ContentType="application/vnd.openxmlformats-officedocument.spreadsheetml.table+xml"/>
  <Override PartName="/xl/tables/table47.xml" ContentType="application/vnd.openxmlformats-officedocument.spreadsheetml.table+xml"/>
  <Override PartName="/xl/tables/table48.xml" ContentType="application/vnd.openxmlformats-officedocument.spreadsheetml.table+xml"/>
  <Override PartName="/xl/tables/table49.xml" ContentType="application/vnd.openxmlformats-officedocument.spreadsheetml.table+xml"/>
  <Override PartName="/xl/tables/table50.xml" ContentType="application/vnd.openxmlformats-officedocument.spreadsheetml.table+xml"/>
  <Override PartName="/xl/tables/table51.xml" ContentType="application/vnd.openxmlformats-officedocument.spreadsheetml.table+xml"/>
  <Override PartName="/xl/comments6.xml" ContentType="application/vnd.openxmlformats-officedocument.spreadsheetml.comments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8.xml" ContentType="application/vnd.openxmlformats-officedocument.drawing+xml"/>
  <Override PartName="/xl/tables/table52.xml" ContentType="application/vnd.openxmlformats-officedocument.spreadsheetml.table+xml"/>
  <Override PartName="/xl/tables/table53.xml" ContentType="application/vnd.openxmlformats-officedocument.spreadsheetml.table+xml"/>
  <Override PartName="/xl/tables/table54.xml" ContentType="application/vnd.openxmlformats-officedocument.spreadsheetml.table+xml"/>
  <Override PartName="/xl/tables/table55.xml" ContentType="application/vnd.openxmlformats-officedocument.spreadsheetml.table+xml"/>
  <Override PartName="/xl/tables/table56.xml" ContentType="application/vnd.openxmlformats-officedocument.spreadsheetml.table+xml"/>
  <Override PartName="/xl/tables/table57.xml" ContentType="application/vnd.openxmlformats-officedocument.spreadsheetml.table+xml"/>
  <Override PartName="/xl/tables/table58.xml" ContentType="application/vnd.openxmlformats-officedocument.spreadsheetml.table+xml"/>
  <Override PartName="/xl/tables/table59.xml" ContentType="application/vnd.openxmlformats-officedocument.spreadsheetml.table+xml"/>
  <Override PartName="/xl/comments7.xml" ContentType="application/vnd.openxmlformats-officedocument.spreadsheetml.comments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9.xml" ContentType="application/vnd.openxmlformats-officedocument.drawing+xml"/>
  <Override PartName="/xl/tables/table60.xml" ContentType="application/vnd.openxmlformats-officedocument.spreadsheetml.table+xml"/>
  <Override PartName="/xl/tables/table61.xml" ContentType="application/vnd.openxmlformats-officedocument.spreadsheetml.table+xml"/>
  <Override PartName="/xl/tables/table62.xml" ContentType="application/vnd.openxmlformats-officedocument.spreadsheetml.table+xml"/>
  <Override PartName="/xl/tables/table63.xml" ContentType="application/vnd.openxmlformats-officedocument.spreadsheetml.table+xml"/>
  <Override PartName="/xl/tables/table64.xml" ContentType="application/vnd.openxmlformats-officedocument.spreadsheetml.table+xml"/>
  <Override PartName="/xl/tables/table65.xml" ContentType="application/vnd.openxmlformats-officedocument.spreadsheetml.table+xml"/>
  <Override PartName="/xl/tables/table66.xml" ContentType="application/vnd.openxmlformats-officedocument.spreadsheetml.table+xml"/>
  <Override PartName="/xl/tables/table67.xml" ContentType="application/vnd.openxmlformats-officedocument.spreadsheetml.table+xml"/>
  <Override PartName="/xl/comments8.xml" ContentType="application/vnd.openxmlformats-officedocument.spreadsheetml.comments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10.xml" ContentType="application/vnd.openxmlformats-officedocument.drawing+xml"/>
  <Override PartName="/xl/tables/table68.xml" ContentType="application/vnd.openxmlformats-officedocument.spreadsheetml.table+xml"/>
  <Override PartName="/xl/tables/table69.xml" ContentType="application/vnd.openxmlformats-officedocument.spreadsheetml.table+xml"/>
  <Override PartName="/xl/tables/table70.xml" ContentType="application/vnd.openxmlformats-officedocument.spreadsheetml.table+xml"/>
  <Override PartName="/xl/tables/table71.xml" ContentType="application/vnd.openxmlformats-officedocument.spreadsheetml.table+xml"/>
  <Override PartName="/xl/tables/table72.xml" ContentType="application/vnd.openxmlformats-officedocument.spreadsheetml.table+xml"/>
  <Override PartName="/xl/tables/table73.xml" ContentType="application/vnd.openxmlformats-officedocument.spreadsheetml.table+xml"/>
  <Override PartName="/xl/tables/table74.xml" ContentType="application/vnd.openxmlformats-officedocument.spreadsheetml.table+xml"/>
  <Override PartName="/xl/tables/table75.xml" ContentType="application/vnd.openxmlformats-officedocument.spreadsheetml.table+xml"/>
  <Override PartName="/xl/comments9.xml" ContentType="application/vnd.openxmlformats-officedocument.spreadsheetml.comments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11.xml" ContentType="application/vnd.openxmlformats-officedocument.drawing+xml"/>
  <Override PartName="/xl/tables/table76.xml" ContentType="application/vnd.openxmlformats-officedocument.spreadsheetml.table+xml"/>
  <Override PartName="/xl/tables/table77.xml" ContentType="application/vnd.openxmlformats-officedocument.spreadsheetml.table+xml"/>
  <Override PartName="/xl/tables/table78.xml" ContentType="application/vnd.openxmlformats-officedocument.spreadsheetml.table+xml"/>
  <Override PartName="/xl/tables/table79.xml" ContentType="application/vnd.openxmlformats-officedocument.spreadsheetml.table+xml"/>
  <Override PartName="/xl/tables/table80.xml" ContentType="application/vnd.openxmlformats-officedocument.spreadsheetml.table+xml"/>
  <Override PartName="/xl/tables/table81.xml" ContentType="application/vnd.openxmlformats-officedocument.spreadsheetml.table+xml"/>
  <Override PartName="/xl/tables/table82.xml" ContentType="application/vnd.openxmlformats-officedocument.spreadsheetml.table+xml"/>
  <Override PartName="/xl/tables/table83.xml" ContentType="application/vnd.openxmlformats-officedocument.spreadsheetml.table+xml"/>
  <Override PartName="/xl/comments10.xml" ContentType="application/vnd.openxmlformats-officedocument.spreadsheetml.comments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12.xml" ContentType="application/vnd.openxmlformats-officedocument.drawing+xml"/>
  <Override PartName="/xl/tables/table84.xml" ContentType="application/vnd.openxmlformats-officedocument.spreadsheetml.table+xml"/>
  <Override PartName="/xl/tables/table85.xml" ContentType="application/vnd.openxmlformats-officedocument.spreadsheetml.table+xml"/>
  <Override PartName="/xl/tables/table86.xml" ContentType="application/vnd.openxmlformats-officedocument.spreadsheetml.table+xml"/>
  <Override PartName="/xl/tables/table87.xml" ContentType="application/vnd.openxmlformats-officedocument.spreadsheetml.table+xml"/>
  <Override PartName="/xl/tables/table88.xml" ContentType="application/vnd.openxmlformats-officedocument.spreadsheetml.table+xml"/>
  <Override PartName="/xl/tables/table89.xml" ContentType="application/vnd.openxmlformats-officedocument.spreadsheetml.table+xml"/>
  <Override PartName="/xl/tables/table90.xml" ContentType="application/vnd.openxmlformats-officedocument.spreadsheetml.table+xml"/>
  <Override PartName="/xl/tables/table91.xml" ContentType="application/vnd.openxmlformats-officedocument.spreadsheetml.table+xml"/>
  <Override PartName="/xl/comments11.xml" ContentType="application/vnd.openxmlformats-officedocument.spreadsheetml.comments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13.xml" ContentType="application/vnd.openxmlformats-officedocument.drawing+xml"/>
  <Override PartName="/xl/tables/table92.xml" ContentType="application/vnd.openxmlformats-officedocument.spreadsheetml.table+xml"/>
  <Override PartName="/xl/tables/table93.xml" ContentType="application/vnd.openxmlformats-officedocument.spreadsheetml.table+xml"/>
  <Override PartName="/xl/tables/table94.xml" ContentType="application/vnd.openxmlformats-officedocument.spreadsheetml.table+xml"/>
  <Override PartName="/xl/tables/table95.xml" ContentType="application/vnd.openxmlformats-officedocument.spreadsheetml.table+xml"/>
  <Override PartName="/xl/tables/table96.xml" ContentType="application/vnd.openxmlformats-officedocument.spreadsheetml.table+xml"/>
  <Override PartName="/xl/tables/table97.xml" ContentType="application/vnd.openxmlformats-officedocument.spreadsheetml.table+xml"/>
  <Override PartName="/xl/tables/table98.xml" ContentType="application/vnd.openxmlformats-officedocument.spreadsheetml.table+xml"/>
  <Override PartName="/xl/tables/table99.xml" ContentType="application/vnd.openxmlformats-officedocument.spreadsheetml.table+xml"/>
  <Override PartName="/xl/comments12.xml" ContentType="application/vnd.openxmlformats-officedocument.spreadsheetml.comments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EstaPastaDeTrabalho" defaultThemeVersion="124226"/>
  <mc:AlternateContent xmlns:mc="http://schemas.openxmlformats.org/markup-compatibility/2006">
    <mc:Choice Requires="x15">
      <x15ac:absPath xmlns:x15ac="http://schemas.microsoft.com/office/spreadsheetml/2010/11/ac" url="C:\Users\T-Gamer\Documents\Projetos Excel 2021\Orçamento\"/>
    </mc:Choice>
  </mc:AlternateContent>
  <xr:revisionPtr revIDLastSave="0" documentId="13_ncr:1_{2ECF4193-6FDB-47BC-A81D-A3027A618EA9}" xr6:coauthVersionLast="47" xr6:coauthVersionMax="47" xr10:uidLastSave="{00000000-0000-0000-0000-000000000000}"/>
  <bookViews>
    <workbookView xWindow="-120" yWindow="-120" windowWidth="20730" windowHeight="11160" tabRatio="780" activeTab="4" xr2:uid="{00000000-000D-0000-FFFF-FFFF00000000}"/>
  </bookViews>
  <sheets>
    <sheet name="Resumo" sheetId="38" r:id="rId1"/>
    <sheet name="Jan" sheetId="24" r:id="rId2"/>
    <sheet name="Fev" sheetId="26" r:id="rId3"/>
    <sheet name="Mar" sheetId="27" r:id="rId4"/>
    <sheet name="Abr" sheetId="28" r:id="rId5"/>
    <sheet name="Maio" sheetId="29" r:id="rId6"/>
    <sheet name="Jun" sheetId="30" r:id="rId7"/>
    <sheet name="Jul" sheetId="31" r:id="rId8"/>
    <sheet name="Agt" sheetId="32" r:id="rId9"/>
    <sheet name="Set" sheetId="33" r:id="rId10"/>
    <sheet name="Out" sheetId="34" r:id="rId11"/>
    <sheet name="Nov" sheetId="35" r:id="rId12"/>
    <sheet name="Dez" sheetId="36" r:id="rId13"/>
  </sheets>
  <calcPr calcId="191029"/>
</workbook>
</file>

<file path=xl/calcChain.xml><?xml version="1.0" encoding="utf-8"?>
<calcChain xmlns="http://schemas.openxmlformats.org/spreadsheetml/2006/main">
  <c r="B44" i="27" l="1"/>
  <c r="B35" i="26"/>
  <c r="F20" i="38" s="1"/>
  <c r="B43" i="26"/>
  <c r="B42" i="24"/>
  <c r="F28" i="24"/>
  <c r="B50" i="38"/>
  <c r="B47" i="38"/>
  <c r="B45" i="38"/>
  <c r="B44" i="38"/>
  <c r="B43" i="38"/>
  <c r="I31" i="28"/>
  <c r="J31" i="28" s="1"/>
  <c r="B47" i="35" l="1"/>
  <c r="B49" i="34" l="1"/>
  <c r="F52" i="31"/>
  <c r="B47" i="33"/>
  <c r="B47" i="32"/>
  <c r="B47" i="31"/>
  <c r="B47" i="30"/>
  <c r="B47" i="29" l="1"/>
  <c r="B47" i="28" l="1"/>
  <c r="F45" i="27" l="1"/>
  <c r="F44" i="27"/>
  <c r="F33" i="28" l="1"/>
  <c r="I26" i="34" l="1"/>
  <c r="J26" i="34" s="1"/>
  <c r="I27" i="34"/>
  <c r="I28" i="34"/>
  <c r="I29" i="34"/>
  <c r="I30" i="34"/>
  <c r="I31" i="34"/>
  <c r="J31" i="34" s="1"/>
  <c r="B28" i="30"/>
  <c r="C21" i="38" l="1"/>
  <c r="F60" i="36"/>
  <c r="F59" i="36"/>
  <c r="E30" i="38" s="1"/>
  <c r="B59" i="36"/>
  <c r="B58" i="36"/>
  <c r="D30" i="38" s="1"/>
  <c r="F45" i="36"/>
  <c r="F44" i="36"/>
  <c r="C30" i="38" s="1"/>
  <c r="B44" i="36"/>
  <c r="B43" i="36"/>
  <c r="F30" i="38" s="1"/>
  <c r="F33" i="36"/>
  <c r="F32" i="36"/>
  <c r="B30" i="38" s="1"/>
  <c r="I31" i="36"/>
  <c r="J31" i="36" s="1"/>
  <c r="I30" i="36"/>
  <c r="J30" i="36" s="1"/>
  <c r="I29" i="36"/>
  <c r="J29" i="36" s="1"/>
  <c r="B29" i="36"/>
  <c r="I28" i="36"/>
  <c r="J28" i="36" s="1"/>
  <c r="B28" i="36"/>
  <c r="B7" i="36" s="1"/>
  <c r="I27" i="36"/>
  <c r="J27" i="36" s="1"/>
  <c r="I26" i="36"/>
  <c r="J26" i="36" s="1"/>
  <c r="B5" i="36"/>
  <c r="F47" i="35"/>
  <c r="F46" i="35"/>
  <c r="E29" i="38" s="1"/>
  <c r="B48" i="35"/>
  <c r="F39" i="35"/>
  <c r="F38" i="35"/>
  <c r="C29" i="38" s="1"/>
  <c r="B40" i="35"/>
  <c r="B39" i="35"/>
  <c r="F32" i="35"/>
  <c r="F31" i="35"/>
  <c r="B29" i="38" s="1"/>
  <c r="I30" i="35"/>
  <c r="J30" i="35" s="1"/>
  <c r="I29" i="35"/>
  <c r="J29" i="35" s="1"/>
  <c r="I28" i="35"/>
  <c r="J28" i="35" s="1"/>
  <c r="B27" i="35"/>
  <c r="I27" i="35"/>
  <c r="J27" i="35" s="1"/>
  <c r="B26" i="35"/>
  <c r="B7" i="35" s="1"/>
  <c r="I26" i="35"/>
  <c r="J26" i="35" s="1"/>
  <c r="I25" i="35"/>
  <c r="J25" i="35" s="1"/>
  <c r="B5" i="35"/>
  <c r="F53" i="34"/>
  <c r="F52" i="34"/>
  <c r="E28" i="38" s="1"/>
  <c r="B50" i="34"/>
  <c r="D28" i="38"/>
  <c r="F40" i="34"/>
  <c r="F39" i="34"/>
  <c r="C28" i="38" s="1"/>
  <c r="B40" i="34"/>
  <c r="B39" i="34"/>
  <c r="F28" i="38" s="1"/>
  <c r="F33" i="34"/>
  <c r="F32" i="34"/>
  <c r="B28" i="38" s="1"/>
  <c r="J30" i="34"/>
  <c r="J29" i="34"/>
  <c r="B29" i="34"/>
  <c r="J28" i="34"/>
  <c r="B28" i="34"/>
  <c r="B7" i="34" s="1"/>
  <c r="J27" i="34"/>
  <c r="B5" i="34"/>
  <c r="F51" i="33"/>
  <c r="F50" i="33"/>
  <c r="E27" i="38" s="1"/>
  <c r="B48" i="33"/>
  <c r="D27" i="38"/>
  <c r="F41" i="33"/>
  <c r="F40" i="33"/>
  <c r="C27" i="38" s="1"/>
  <c r="B41" i="33"/>
  <c r="B40" i="33"/>
  <c r="F27" i="38" s="1"/>
  <c r="F33" i="33"/>
  <c r="F32" i="33"/>
  <c r="B27" i="38" s="1"/>
  <c r="I31" i="33"/>
  <c r="J31" i="33" s="1"/>
  <c r="I30" i="33"/>
  <c r="J30" i="33" s="1"/>
  <c r="I29" i="33"/>
  <c r="J29" i="33" s="1"/>
  <c r="B28" i="33"/>
  <c r="I28" i="33"/>
  <c r="J28" i="33" s="1"/>
  <c r="B27" i="33"/>
  <c r="B7" i="33" s="1"/>
  <c r="I27" i="33"/>
  <c r="J27" i="33" s="1"/>
  <c r="I26" i="33"/>
  <c r="J26" i="33" s="1"/>
  <c r="B5" i="33"/>
  <c r="F54" i="32"/>
  <c r="F53" i="32"/>
  <c r="E26" i="38" s="1"/>
  <c r="B48" i="32"/>
  <c r="D26" i="38"/>
  <c r="F40" i="32"/>
  <c r="F39" i="32"/>
  <c r="C26" i="38" s="1"/>
  <c r="B40" i="32"/>
  <c r="B39" i="32"/>
  <c r="F26" i="38" s="1"/>
  <c r="F33" i="32"/>
  <c r="F32" i="32"/>
  <c r="B26" i="38" s="1"/>
  <c r="I31" i="32"/>
  <c r="J31" i="32" s="1"/>
  <c r="I30" i="32"/>
  <c r="J30" i="32" s="1"/>
  <c r="I29" i="32"/>
  <c r="J29" i="32" s="1"/>
  <c r="B28" i="32"/>
  <c r="I28" i="32"/>
  <c r="J28" i="32" s="1"/>
  <c r="B27" i="32"/>
  <c r="B7" i="32" s="1"/>
  <c r="I27" i="32"/>
  <c r="J27" i="32" s="1"/>
  <c r="I26" i="32"/>
  <c r="J26" i="32" s="1"/>
  <c r="B5" i="32"/>
  <c r="F53" i="31"/>
  <c r="E25" i="38"/>
  <c r="B48" i="31"/>
  <c r="D25" i="38"/>
  <c r="F40" i="31"/>
  <c r="F39" i="31"/>
  <c r="C25" i="38" s="1"/>
  <c r="B38" i="31"/>
  <c r="B37" i="31"/>
  <c r="F33" i="31"/>
  <c r="F32" i="31"/>
  <c r="B25" i="38" s="1"/>
  <c r="I31" i="31"/>
  <c r="J31" i="31" s="1"/>
  <c r="I30" i="31"/>
  <c r="J30" i="31" s="1"/>
  <c r="I29" i="31"/>
  <c r="J29" i="31" s="1"/>
  <c r="B28" i="31"/>
  <c r="I28" i="31"/>
  <c r="J28" i="31" s="1"/>
  <c r="B27" i="31"/>
  <c r="B7" i="31" s="1"/>
  <c r="I27" i="31"/>
  <c r="J27" i="31" s="1"/>
  <c r="I26" i="31"/>
  <c r="J26" i="31" s="1"/>
  <c r="B5" i="31"/>
  <c r="F54" i="30"/>
  <c r="F53" i="30"/>
  <c r="E24" i="38" s="1"/>
  <c r="B48" i="30"/>
  <c r="D24" i="38"/>
  <c r="F40" i="30"/>
  <c r="F39" i="30"/>
  <c r="C24" i="38" s="1"/>
  <c r="B40" i="30"/>
  <c r="B39" i="30"/>
  <c r="F33" i="30"/>
  <c r="F32" i="30"/>
  <c r="I31" i="30"/>
  <c r="J31" i="30" s="1"/>
  <c r="I30" i="30"/>
  <c r="J30" i="30" s="1"/>
  <c r="I29" i="30"/>
  <c r="J29" i="30" s="1"/>
  <c r="I28" i="30"/>
  <c r="J28" i="30" s="1"/>
  <c r="B27" i="30"/>
  <c r="B7" i="30" s="1"/>
  <c r="I27" i="30"/>
  <c r="J27" i="30" s="1"/>
  <c r="I26" i="30"/>
  <c r="J26" i="30" s="1"/>
  <c r="B5" i="30"/>
  <c r="F50" i="29"/>
  <c r="F49" i="29"/>
  <c r="E23" i="38" s="1"/>
  <c r="B48" i="29"/>
  <c r="D23" i="38"/>
  <c r="F40" i="29"/>
  <c r="F39" i="29"/>
  <c r="C23" i="38" s="1"/>
  <c r="B39" i="29"/>
  <c r="B38" i="29"/>
  <c r="F23" i="38" s="1"/>
  <c r="F33" i="29"/>
  <c r="F32" i="29"/>
  <c r="B23" i="38" s="1"/>
  <c r="I31" i="29"/>
  <c r="J31" i="29" s="1"/>
  <c r="I30" i="29"/>
  <c r="J30" i="29" s="1"/>
  <c r="I29" i="29"/>
  <c r="J29" i="29" s="1"/>
  <c r="B28" i="29"/>
  <c r="I28" i="29"/>
  <c r="J28" i="29" s="1"/>
  <c r="B27" i="29"/>
  <c r="B7" i="29" s="1"/>
  <c r="I27" i="29"/>
  <c r="J27" i="29" s="1"/>
  <c r="I26" i="29"/>
  <c r="J26" i="29" s="1"/>
  <c r="B5" i="29"/>
  <c r="F57" i="28"/>
  <c r="F56" i="28"/>
  <c r="E22" i="38" s="1"/>
  <c r="B48" i="28"/>
  <c r="D22" i="38"/>
  <c r="F41" i="28"/>
  <c r="F40" i="28"/>
  <c r="C22" i="38" s="1"/>
  <c r="B40" i="28"/>
  <c r="B39" i="28"/>
  <c r="F22" i="38" s="1"/>
  <c r="F32" i="28"/>
  <c r="I30" i="28"/>
  <c r="J30" i="28" s="1"/>
  <c r="I29" i="28"/>
  <c r="J29" i="28" s="1"/>
  <c r="I28" i="28"/>
  <c r="J28" i="28" s="1"/>
  <c r="B28" i="28"/>
  <c r="I27" i="28"/>
  <c r="J27" i="28" s="1"/>
  <c r="B27" i="28"/>
  <c r="B7" i="28" s="1"/>
  <c r="I26" i="28"/>
  <c r="J26" i="28" s="1"/>
  <c r="B5" i="28"/>
  <c r="E21" i="38"/>
  <c r="D21" i="38"/>
  <c r="F35" i="27"/>
  <c r="B35" i="27"/>
  <c r="F28" i="27"/>
  <c r="F27" i="27"/>
  <c r="B27" i="27"/>
  <c r="B7" i="27" s="1"/>
  <c r="I26" i="27"/>
  <c r="J26" i="27" s="1"/>
  <c r="B5" i="27"/>
  <c r="B21" i="38" l="1"/>
  <c r="B13" i="27"/>
  <c r="F21" i="38"/>
  <c r="B24" i="38"/>
  <c r="B13" i="30"/>
  <c r="F25" i="38"/>
  <c r="F24" i="38"/>
  <c r="B12" i="33"/>
  <c r="B12" i="35"/>
  <c r="F29" i="38"/>
  <c r="D29" i="38"/>
  <c r="B22" i="38"/>
  <c r="B9" i="27"/>
  <c r="B41" i="38" s="1"/>
  <c r="B12" i="27"/>
  <c r="B12" i="34"/>
  <c r="B12" i="30"/>
  <c r="B13" i="35"/>
  <c r="B13" i="34"/>
  <c r="I28" i="38" s="1"/>
  <c r="B12" i="29"/>
  <c r="B12" i="28"/>
  <c r="B13" i="33"/>
  <c r="I27" i="38" s="1"/>
  <c r="B13" i="28"/>
  <c r="I22" i="38" s="1"/>
  <c r="B12" i="32"/>
  <c r="B12" i="31"/>
  <c r="B13" i="31"/>
  <c r="I25" i="38" s="1"/>
  <c r="B13" i="29"/>
  <c r="I23" i="38" s="1"/>
  <c r="J23" i="38" s="1"/>
  <c r="B13" i="36"/>
  <c r="I30" i="38" s="1"/>
  <c r="B13" i="32"/>
  <c r="I26" i="38" s="1"/>
  <c r="B12" i="36"/>
  <c r="B9" i="36"/>
  <c r="B9" i="35"/>
  <c r="B49" i="38" s="1"/>
  <c r="B9" i="34"/>
  <c r="B48" i="38" s="1"/>
  <c r="B9" i="33"/>
  <c r="B9" i="32"/>
  <c r="B46" i="38" s="1"/>
  <c r="B9" i="31"/>
  <c r="I24" i="38"/>
  <c r="B9" i="30"/>
  <c r="B9" i="29"/>
  <c r="B9" i="28"/>
  <c r="B42" i="38" s="1"/>
  <c r="F42" i="26"/>
  <c r="E20" i="38" s="1"/>
  <c r="D20" i="38"/>
  <c r="F34" i="26"/>
  <c r="C20" i="38" s="1"/>
  <c r="F28" i="26"/>
  <c r="F27" i="26"/>
  <c r="B27" i="26"/>
  <c r="I26" i="26"/>
  <c r="J26" i="26" s="1"/>
  <c r="B5" i="26"/>
  <c r="B13" i="26" l="1"/>
  <c r="B7" i="26"/>
  <c r="B20" i="38"/>
  <c r="B9" i="26"/>
  <c r="B40" i="38" s="1"/>
  <c r="A17" i="35"/>
  <c r="I29" i="38"/>
  <c r="A17" i="34"/>
  <c r="B12" i="26"/>
  <c r="J25" i="38"/>
  <c r="K25" i="38" s="1"/>
  <c r="J30" i="38"/>
  <c r="K30" i="38" s="1"/>
  <c r="B14" i="35"/>
  <c r="B14" i="34"/>
  <c r="B14" i="33"/>
  <c r="B14" i="32"/>
  <c r="B14" i="30"/>
  <c r="J24" i="38"/>
  <c r="B14" i="29"/>
  <c r="B14" i="28"/>
  <c r="B14" i="27"/>
  <c r="I21" i="38"/>
  <c r="B14" i="36"/>
  <c r="A17" i="33"/>
  <c r="A17" i="31"/>
  <c r="A17" i="28"/>
  <c r="B14" i="31"/>
  <c r="A17" i="29"/>
  <c r="A17" i="27"/>
  <c r="A17" i="32"/>
  <c r="A17" i="36"/>
  <c r="A17" i="30"/>
  <c r="D19" i="38"/>
  <c r="B35" i="24"/>
  <c r="F19" i="38" s="1"/>
  <c r="D31" i="38" l="1"/>
  <c r="B11" i="38" s="1"/>
  <c r="J26" i="38"/>
  <c r="K26" i="38" s="1"/>
  <c r="J27" i="38"/>
  <c r="K27" i="38" s="1"/>
  <c r="J29" i="38"/>
  <c r="K29" i="38" s="1"/>
  <c r="J28" i="38"/>
  <c r="K28" i="38" s="1"/>
  <c r="J22" i="38"/>
  <c r="K22" i="38" s="1"/>
  <c r="K24" i="38"/>
  <c r="K23" i="38"/>
  <c r="B14" i="26"/>
  <c r="I20" i="38"/>
  <c r="J21" i="38" s="1"/>
  <c r="K21" i="38" s="1"/>
  <c r="A17" i="26"/>
  <c r="F31" i="38" l="1"/>
  <c r="B13" i="38" s="1"/>
  <c r="F27" i="24"/>
  <c r="B27" i="24"/>
  <c r="B5" i="24"/>
  <c r="B7" i="24" l="1"/>
  <c r="B13" i="24"/>
  <c r="B19" i="38"/>
  <c r="B31" i="38" s="1"/>
  <c r="B9" i="38" s="1"/>
  <c r="B12" i="24"/>
  <c r="B9" i="24"/>
  <c r="B39" i="38" s="1"/>
  <c r="F44" i="24" l="1"/>
  <c r="F43" i="24"/>
  <c r="E19" i="38" s="1"/>
  <c r="E31" i="38" s="1"/>
  <c r="B12" i="38" l="1"/>
  <c r="I26" i="24"/>
  <c r="J26" i="24" s="1"/>
  <c r="F35" i="24" l="1"/>
  <c r="A17" i="24" l="1"/>
  <c r="C19" i="38"/>
  <c r="C31" i="38" l="1"/>
  <c r="B10" i="38" s="1"/>
  <c r="B14" i="24"/>
  <c r="I19" i="38"/>
  <c r="J20" i="38" l="1"/>
  <c r="K20" i="38" s="1"/>
  <c r="J1" i="38"/>
  <c r="K1" i="38" s="1"/>
  <c r="J2" i="38"/>
  <c r="K2" i="38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Américo</author>
  </authors>
  <commentList>
    <comment ref="B13" authorId="0" shapeId="0" xr:uid="{1546358A-136F-4481-97DD-22FE1CA2C184}">
      <text>
        <r>
          <rPr>
            <b/>
            <sz val="9"/>
            <color indexed="81"/>
            <rFont val="Segoe UI"/>
            <family val="2"/>
          </rPr>
          <t>Américo:</t>
        </r>
        <r>
          <rPr>
            <sz val="9"/>
            <color indexed="81"/>
            <rFont val="Segoe UI"/>
            <family val="2"/>
          </rPr>
          <t xml:space="preserve">
Somatória das despesas origatórias + Despesas não recorrentes + Mercado + Cuidados Pessoais</t>
        </r>
      </text>
    </comment>
    <comment ref="F26" authorId="0" shapeId="0" xr:uid="{C8117595-4509-4E18-8455-E625AF153088}">
      <text>
        <r>
          <rPr>
            <b/>
            <sz val="9"/>
            <color indexed="81"/>
            <rFont val="Tahoma"/>
            <family val="2"/>
          </rPr>
          <t>Américo: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 xml:space="preserve">Valores simbolicos
</t>
        </r>
      </text>
    </comment>
    <comment ref="J26" authorId="0" shapeId="0" xr:uid="{FA58B8F4-B165-4901-A930-D0FE7EF57515}">
      <text>
        <r>
          <rPr>
            <b/>
            <sz val="9"/>
            <color indexed="81"/>
            <rFont val="Segoe UI"/>
            <family val="2"/>
          </rPr>
          <t>Américo:</t>
        </r>
        <r>
          <rPr>
            <sz val="9"/>
            <color indexed="81"/>
            <rFont val="Segoe UI"/>
            <family val="2"/>
          </rPr>
          <t xml:space="preserve">
Colocar formatação condicional</t>
        </r>
      </text>
    </comment>
    <comment ref="B39" authorId="0" shapeId="0" xr:uid="{0714B628-42A9-4248-9FC9-CDC61498598D}">
      <text>
        <r>
          <rPr>
            <b/>
            <sz val="9"/>
            <color indexed="81"/>
            <rFont val="Segoe UI"/>
            <family val="2"/>
          </rPr>
          <t>Américo:</t>
        </r>
        <r>
          <rPr>
            <sz val="9"/>
            <color indexed="81"/>
            <rFont val="Segoe UI"/>
            <family val="2"/>
          </rPr>
          <t xml:space="preserve">
Não tem valor ainda
</t>
        </r>
      </text>
    </comment>
    <comment ref="B49" authorId="0" shapeId="0" xr:uid="{EDA5D1A5-21F1-44D8-893F-654E636DEDCF}">
      <text>
        <r>
          <rPr>
            <b/>
            <sz val="9"/>
            <color indexed="81"/>
            <rFont val="Segoe UI"/>
            <family val="2"/>
          </rPr>
          <t>Américo:</t>
        </r>
        <r>
          <rPr>
            <sz val="9"/>
            <color indexed="81"/>
            <rFont val="Segoe UI"/>
            <family val="2"/>
          </rPr>
          <t xml:space="preserve">
Não tem valor ainda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Américo</author>
  </authors>
  <commentList>
    <comment ref="B13" authorId="0" shapeId="0" xr:uid="{A8FA5797-FCA2-4E9B-AE0C-0AAC4C918EE7}">
      <text>
        <r>
          <rPr>
            <b/>
            <sz val="9"/>
            <color indexed="81"/>
            <rFont val="Segoe UI"/>
            <family val="2"/>
          </rPr>
          <t>Américo:</t>
        </r>
        <r>
          <rPr>
            <sz val="9"/>
            <color indexed="81"/>
            <rFont val="Segoe UI"/>
            <family val="2"/>
          </rPr>
          <t xml:space="preserve">
Somatória das despesas origatórias + Despesas não recorrentes + Mercado + Cuidados Pessoais</t>
        </r>
      </text>
    </comment>
    <comment ref="F26" authorId="0" shapeId="0" xr:uid="{7E41922D-47A2-4241-9B25-7BA3A0D57DC8}">
      <text>
        <r>
          <rPr>
            <b/>
            <sz val="9"/>
            <color indexed="81"/>
            <rFont val="Tahoma"/>
            <family val="2"/>
          </rPr>
          <t>Américo: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 xml:space="preserve">Valores simbolicos
</t>
        </r>
      </text>
    </comment>
    <comment ref="J26" authorId="0" shapeId="0" xr:uid="{9E4B560E-3202-4924-8F62-D02032BA8AD1}">
      <text>
        <r>
          <rPr>
            <b/>
            <sz val="9"/>
            <color indexed="81"/>
            <rFont val="Segoe UI"/>
            <family val="2"/>
          </rPr>
          <t>Américo:</t>
        </r>
        <r>
          <rPr>
            <sz val="9"/>
            <color indexed="81"/>
            <rFont val="Segoe UI"/>
            <family val="2"/>
          </rPr>
          <t xml:space="preserve">
Colocar formatação condicional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Américo</author>
  </authors>
  <commentList>
    <comment ref="B13" authorId="0" shapeId="0" xr:uid="{02891D9A-906B-4153-8B78-A59FF4CB919E}">
      <text>
        <r>
          <rPr>
            <b/>
            <sz val="9"/>
            <color indexed="81"/>
            <rFont val="Segoe UI"/>
            <family val="2"/>
          </rPr>
          <t>Américo:</t>
        </r>
        <r>
          <rPr>
            <sz val="9"/>
            <color indexed="81"/>
            <rFont val="Segoe UI"/>
            <family val="2"/>
          </rPr>
          <t xml:space="preserve">
Somatória das despesas origatórias + Despesas não recorrentes + Mercado + Cuidados Pessoais</t>
        </r>
      </text>
    </comment>
    <comment ref="F26" authorId="0" shapeId="0" xr:uid="{7EA7F8D7-DBE2-4CDF-88EC-860A0E9E7533}">
      <text>
        <r>
          <rPr>
            <b/>
            <sz val="9"/>
            <color indexed="81"/>
            <rFont val="Tahoma"/>
            <family val="2"/>
          </rPr>
          <t>Américo: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 xml:space="preserve">Valores simbolicos
</t>
        </r>
      </text>
    </comment>
    <comment ref="J26" authorId="0" shapeId="0" xr:uid="{2155BFB0-5D9C-4E21-B24A-7B68BD817C80}">
      <text>
        <r>
          <rPr>
            <b/>
            <sz val="9"/>
            <color indexed="81"/>
            <rFont val="Segoe UI"/>
            <family val="2"/>
          </rPr>
          <t>Américo:</t>
        </r>
        <r>
          <rPr>
            <sz val="9"/>
            <color indexed="81"/>
            <rFont val="Segoe UI"/>
            <family val="2"/>
          </rPr>
          <t xml:space="preserve">
Colocar formatação condicional</t>
        </r>
      </text>
    </comment>
    <comment ref="B50" authorId="0" shapeId="0" xr:uid="{9A3EF5CD-8B21-4D29-BB5F-C5CDBF28893D}">
      <text>
        <r>
          <rPr>
            <b/>
            <sz val="9"/>
            <color indexed="81"/>
            <rFont val="Segoe UI"/>
            <family val="2"/>
          </rPr>
          <t>Américo:</t>
        </r>
        <r>
          <rPr>
            <sz val="9"/>
            <color indexed="81"/>
            <rFont val="Segoe UI"/>
            <family val="2"/>
          </rPr>
          <t xml:space="preserve">
Não tem valor ainda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Américo</author>
  </authors>
  <commentList>
    <comment ref="B13" authorId="0" shapeId="0" xr:uid="{AAFC6F40-2896-412B-B0BF-22BECFB0CCED}">
      <text>
        <r>
          <rPr>
            <b/>
            <sz val="9"/>
            <color indexed="81"/>
            <rFont val="Segoe UI"/>
            <family val="2"/>
          </rPr>
          <t>Américo:</t>
        </r>
        <r>
          <rPr>
            <sz val="9"/>
            <color indexed="81"/>
            <rFont val="Segoe UI"/>
            <family val="2"/>
          </rPr>
          <t xml:space="preserve">
Somatória das despesas origatórias + Despesas não recorrentes + Mercado + Cuidados Pessoais</t>
        </r>
      </text>
    </comment>
    <comment ref="F26" authorId="0" shapeId="0" xr:uid="{CA82ED48-71A4-4314-8868-055C42DA8B67}">
      <text>
        <r>
          <rPr>
            <b/>
            <sz val="9"/>
            <color indexed="81"/>
            <rFont val="Tahoma"/>
            <family val="2"/>
          </rPr>
          <t>Américo: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 xml:space="preserve">Valores simbolicos
</t>
        </r>
      </text>
    </comment>
    <comment ref="J26" authorId="0" shapeId="0" xr:uid="{42EB36EE-28D0-44A5-9C77-1F7E96B24224}">
      <text>
        <r>
          <rPr>
            <b/>
            <sz val="9"/>
            <color indexed="81"/>
            <rFont val="Segoe UI"/>
            <family val="2"/>
          </rPr>
          <t>Américo:</t>
        </r>
        <r>
          <rPr>
            <sz val="9"/>
            <color indexed="81"/>
            <rFont val="Segoe UI"/>
            <family val="2"/>
          </rPr>
          <t xml:space="preserve">
Colocar formatação condicional</t>
        </r>
      </text>
    </comment>
    <comment ref="I28" authorId="0" shapeId="0" xr:uid="{DFFDFD85-DA3D-4540-B821-F47F064B9187}">
      <text>
        <r>
          <rPr>
            <b/>
            <sz val="9"/>
            <color indexed="81"/>
            <rFont val="Segoe UI"/>
            <family val="2"/>
          </rPr>
          <t>Américo:</t>
        </r>
        <r>
          <rPr>
            <sz val="9"/>
            <color indexed="81"/>
            <rFont val="Segoe UI"/>
            <family val="2"/>
          </rPr>
          <t xml:space="preserve">
Colocar fomartação condicional</t>
        </r>
      </text>
    </comment>
    <comment ref="B40" authorId="0" shapeId="0" xr:uid="{2885AB7F-04F8-4EE7-98C7-51B5F13BFC22}">
      <text>
        <r>
          <rPr>
            <b/>
            <sz val="9"/>
            <color indexed="81"/>
            <rFont val="Segoe UI"/>
            <family val="2"/>
          </rPr>
          <t>Américo:</t>
        </r>
        <r>
          <rPr>
            <sz val="9"/>
            <color indexed="81"/>
            <rFont val="Segoe UI"/>
            <family val="2"/>
          </rPr>
          <t xml:space="preserve">
Não tem valor ainda
</t>
        </r>
      </text>
    </comment>
    <comment ref="B48" authorId="0" shapeId="0" xr:uid="{E90DD4DC-CFBA-4324-81F9-C1EAF78AE271}">
      <text>
        <r>
          <rPr>
            <b/>
            <sz val="9"/>
            <color indexed="81"/>
            <rFont val="Segoe UI"/>
            <family val="2"/>
          </rPr>
          <t>Américo:</t>
        </r>
        <r>
          <rPr>
            <sz val="9"/>
            <color indexed="81"/>
            <rFont val="Segoe UI"/>
            <family val="2"/>
          </rPr>
          <t xml:space="preserve">
Não tem valor ainda
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Américo</author>
  </authors>
  <commentList>
    <comment ref="B13" authorId="0" shapeId="0" xr:uid="{FDDB3959-75DF-4373-A1D7-3428283C2F40}">
      <text>
        <r>
          <rPr>
            <b/>
            <sz val="9"/>
            <color indexed="81"/>
            <rFont val="Segoe UI"/>
            <family val="2"/>
          </rPr>
          <t>Américo:</t>
        </r>
        <r>
          <rPr>
            <sz val="9"/>
            <color indexed="81"/>
            <rFont val="Segoe UI"/>
            <family val="2"/>
          </rPr>
          <t xml:space="preserve">
Somatória das despesas origatórias + Despesas não recorrentes + Mercado + Cuidados Pessoais</t>
        </r>
      </text>
    </comment>
    <comment ref="F26" authorId="0" shapeId="0" xr:uid="{B418B280-BAC6-4FF2-B41D-17CE799774F0}">
      <text>
        <r>
          <rPr>
            <b/>
            <sz val="9"/>
            <color indexed="81"/>
            <rFont val="Tahoma"/>
            <family val="2"/>
          </rPr>
          <t>Américo: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 xml:space="preserve">Valores simbolicos
</t>
        </r>
      </text>
    </comment>
    <comment ref="J26" authorId="0" shapeId="0" xr:uid="{A9CF0C22-DAB9-46D0-BC82-B8B1FFD538F5}">
      <text>
        <r>
          <rPr>
            <b/>
            <sz val="9"/>
            <color indexed="81"/>
            <rFont val="Segoe UI"/>
            <family val="2"/>
          </rPr>
          <t>Américo:</t>
        </r>
        <r>
          <rPr>
            <sz val="9"/>
            <color indexed="81"/>
            <rFont val="Segoe UI"/>
            <family val="2"/>
          </rPr>
          <t xml:space="preserve">
Colocar formatação condicional</t>
        </r>
      </text>
    </comment>
    <comment ref="I29" authorId="0" shapeId="0" xr:uid="{6E3EA0C8-4348-4687-9E8C-216060D58B75}">
      <text>
        <r>
          <rPr>
            <b/>
            <sz val="9"/>
            <color indexed="81"/>
            <rFont val="Segoe UI"/>
            <family val="2"/>
          </rPr>
          <t>Américo:</t>
        </r>
        <r>
          <rPr>
            <sz val="9"/>
            <color indexed="81"/>
            <rFont val="Segoe UI"/>
            <family val="2"/>
          </rPr>
          <t xml:space="preserve">
Colocar fomartação condicional</t>
        </r>
      </text>
    </comment>
    <comment ref="B39" authorId="0" shapeId="0" xr:uid="{9027E746-047B-4167-97F9-588A192FE06F}">
      <text>
        <r>
          <rPr>
            <b/>
            <sz val="9"/>
            <color indexed="81"/>
            <rFont val="Segoe UI"/>
            <family val="2"/>
          </rPr>
          <t>Américo:</t>
        </r>
        <r>
          <rPr>
            <sz val="9"/>
            <color indexed="81"/>
            <rFont val="Segoe UI"/>
            <family val="2"/>
          </rPr>
          <t xml:space="preserve">
Não tem valor ainda
</t>
        </r>
      </text>
    </comment>
    <comment ref="B48" authorId="0" shapeId="0" xr:uid="{0FA48023-F73B-4C5A-9630-A560014B29DA}">
      <text>
        <r>
          <rPr>
            <b/>
            <sz val="9"/>
            <color indexed="81"/>
            <rFont val="Segoe UI"/>
            <family val="2"/>
          </rPr>
          <t>Américo:</t>
        </r>
        <r>
          <rPr>
            <sz val="9"/>
            <color indexed="81"/>
            <rFont val="Segoe UI"/>
            <family val="2"/>
          </rPr>
          <t xml:space="preserve">
Não tem valor ainda
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Américo</author>
  </authors>
  <commentList>
    <comment ref="B13" authorId="0" shapeId="0" xr:uid="{2185754E-E148-4E2D-9A56-9B7C83FDE6D8}">
      <text>
        <r>
          <rPr>
            <b/>
            <sz val="9"/>
            <color indexed="81"/>
            <rFont val="Segoe UI"/>
            <family val="2"/>
          </rPr>
          <t>Américo:</t>
        </r>
        <r>
          <rPr>
            <sz val="9"/>
            <color indexed="81"/>
            <rFont val="Segoe UI"/>
            <family val="2"/>
          </rPr>
          <t xml:space="preserve">
Somatória das despesas origatórias + Despesas não recorrentes + Mercado + Cuidados Pessoais</t>
        </r>
      </text>
    </comment>
    <comment ref="F26" authorId="0" shapeId="0" xr:uid="{D892D0F9-6BA0-4C5F-B457-25442073B155}">
      <text>
        <r>
          <rPr>
            <b/>
            <sz val="9"/>
            <color indexed="81"/>
            <rFont val="Tahoma"/>
            <family val="2"/>
          </rPr>
          <t>Américo: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 xml:space="preserve">Valores simbolicos
</t>
        </r>
      </text>
    </comment>
    <comment ref="J26" authorId="0" shapeId="0" xr:uid="{913D87AD-7C01-4528-A3C5-7CE55E467EEB}">
      <text>
        <r>
          <rPr>
            <b/>
            <sz val="9"/>
            <color indexed="81"/>
            <rFont val="Segoe UI"/>
            <family val="2"/>
          </rPr>
          <t>Américo:</t>
        </r>
        <r>
          <rPr>
            <sz val="9"/>
            <color indexed="81"/>
            <rFont val="Segoe UI"/>
            <family val="2"/>
          </rPr>
          <t xml:space="preserve">
Colocar formatação condicional</t>
        </r>
      </text>
    </comment>
    <comment ref="I29" authorId="0" shapeId="0" xr:uid="{56736436-80F2-45BA-846F-BCB4568BDA1B}">
      <text>
        <r>
          <rPr>
            <b/>
            <sz val="9"/>
            <color indexed="81"/>
            <rFont val="Segoe UI"/>
            <family val="2"/>
          </rPr>
          <t>Américo:</t>
        </r>
        <r>
          <rPr>
            <sz val="9"/>
            <color indexed="81"/>
            <rFont val="Segoe UI"/>
            <family val="2"/>
          </rPr>
          <t xml:space="preserve">
Colocar fomartação condicional</t>
        </r>
      </text>
    </comment>
    <comment ref="B40" authorId="0" shapeId="0" xr:uid="{1970B0A6-0EB1-4404-B0A8-F7322C8F3CA2}">
      <text>
        <r>
          <rPr>
            <b/>
            <sz val="9"/>
            <color indexed="81"/>
            <rFont val="Segoe UI"/>
            <family val="2"/>
          </rPr>
          <t>Américo:</t>
        </r>
        <r>
          <rPr>
            <sz val="9"/>
            <color indexed="81"/>
            <rFont val="Segoe UI"/>
            <family val="2"/>
          </rPr>
          <t xml:space="preserve">
Não tem valor ainda
</t>
        </r>
      </text>
    </comment>
    <comment ref="B48" authorId="0" shapeId="0" xr:uid="{EF2183E4-2C07-4ED4-AD06-D17385B44944}">
      <text>
        <r>
          <rPr>
            <b/>
            <sz val="9"/>
            <color indexed="81"/>
            <rFont val="Segoe UI"/>
            <family val="2"/>
          </rPr>
          <t>Américo:</t>
        </r>
        <r>
          <rPr>
            <sz val="9"/>
            <color indexed="81"/>
            <rFont val="Segoe UI"/>
            <family val="2"/>
          </rPr>
          <t xml:space="preserve">
Não tem valor ainda
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Américo</author>
  </authors>
  <commentList>
    <comment ref="B13" authorId="0" shapeId="0" xr:uid="{D00EE5D9-4023-49A2-AB8D-B4A88AB86728}">
      <text>
        <r>
          <rPr>
            <b/>
            <sz val="9"/>
            <color indexed="81"/>
            <rFont val="Segoe UI"/>
            <family val="2"/>
          </rPr>
          <t>Américo:</t>
        </r>
        <r>
          <rPr>
            <sz val="9"/>
            <color indexed="81"/>
            <rFont val="Segoe UI"/>
            <family val="2"/>
          </rPr>
          <t xml:space="preserve">
Somatória das despesas origatórias + Despesas não recorrentes + Mercado + Cuidados Pessoais</t>
        </r>
      </text>
    </comment>
    <comment ref="F26" authorId="0" shapeId="0" xr:uid="{F43E9040-B1EC-499E-8FDF-6FA78FD95E0B}">
      <text>
        <r>
          <rPr>
            <b/>
            <sz val="9"/>
            <color indexed="81"/>
            <rFont val="Tahoma"/>
            <family val="2"/>
          </rPr>
          <t>Américo: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 xml:space="preserve">Valores simbolicos
</t>
        </r>
      </text>
    </comment>
    <comment ref="J26" authorId="0" shapeId="0" xr:uid="{D9C3558B-F8A7-41E8-8DCF-3F864C15E378}">
      <text>
        <r>
          <rPr>
            <b/>
            <sz val="9"/>
            <color indexed="81"/>
            <rFont val="Segoe UI"/>
            <family val="2"/>
          </rPr>
          <t>Américo:</t>
        </r>
        <r>
          <rPr>
            <sz val="9"/>
            <color indexed="81"/>
            <rFont val="Segoe UI"/>
            <family val="2"/>
          </rPr>
          <t xml:space="preserve">
Colocar formatação condicional</t>
        </r>
      </text>
    </comment>
    <comment ref="I29" authorId="0" shapeId="0" xr:uid="{4FF721E9-B401-4F70-A933-BD228F4B52AB}">
      <text>
        <r>
          <rPr>
            <b/>
            <sz val="9"/>
            <color indexed="81"/>
            <rFont val="Segoe UI"/>
            <family val="2"/>
          </rPr>
          <t>Américo:</t>
        </r>
        <r>
          <rPr>
            <sz val="9"/>
            <color indexed="81"/>
            <rFont val="Segoe UI"/>
            <family val="2"/>
          </rPr>
          <t xml:space="preserve">
Colocar fomartação condicional</t>
        </r>
      </text>
    </comment>
    <comment ref="B38" authorId="0" shapeId="0" xr:uid="{E0ECA11C-1C89-4D5D-91FC-6E2F31DD15E7}">
      <text>
        <r>
          <rPr>
            <b/>
            <sz val="9"/>
            <color indexed="81"/>
            <rFont val="Segoe UI"/>
            <family val="2"/>
          </rPr>
          <t>Américo:</t>
        </r>
        <r>
          <rPr>
            <sz val="9"/>
            <color indexed="81"/>
            <rFont val="Segoe UI"/>
            <family val="2"/>
          </rPr>
          <t xml:space="preserve">
Não tem valor ainda
</t>
        </r>
      </text>
    </comment>
    <comment ref="B48" authorId="0" shapeId="0" xr:uid="{0A5293C6-2D2D-4E2A-8AFF-886DD79C9D5A}">
      <text>
        <r>
          <rPr>
            <b/>
            <sz val="9"/>
            <color indexed="81"/>
            <rFont val="Segoe UI"/>
            <family val="2"/>
          </rPr>
          <t>Américo:</t>
        </r>
        <r>
          <rPr>
            <sz val="9"/>
            <color indexed="81"/>
            <rFont val="Segoe UI"/>
            <family val="2"/>
          </rPr>
          <t xml:space="preserve">
Não tem valor ainda
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Américo</author>
  </authors>
  <commentList>
    <comment ref="B13" authorId="0" shapeId="0" xr:uid="{4CDC908A-B730-49B6-BB47-0AEBAE252517}">
      <text>
        <r>
          <rPr>
            <b/>
            <sz val="9"/>
            <color indexed="81"/>
            <rFont val="Segoe UI"/>
            <family val="2"/>
          </rPr>
          <t>Américo:</t>
        </r>
        <r>
          <rPr>
            <sz val="9"/>
            <color indexed="81"/>
            <rFont val="Segoe UI"/>
            <family val="2"/>
          </rPr>
          <t xml:space="preserve">
Somatória das despesas origatórias + Despesas não recorrentes + Mercado + Cuidados Pessoais</t>
        </r>
      </text>
    </comment>
    <comment ref="F26" authorId="0" shapeId="0" xr:uid="{88D0F2C8-9181-4BCC-A45D-081C93CBAE3B}">
      <text>
        <r>
          <rPr>
            <b/>
            <sz val="9"/>
            <color indexed="81"/>
            <rFont val="Tahoma"/>
            <family val="2"/>
          </rPr>
          <t>Américo: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 xml:space="preserve">Valores simbolicos
</t>
        </r>
      </text>
    </comment>
    <comment ref="J26" authorId="0" shapeId="0" xr:uid="{3609C4F8-C40C-447A-9A48-01523D464E36}">
      <text>
        <r>
          <rPr>
            <b/>
            <sz val="9"/>
            <color indexed="81"/>
            <rFont val="Segoe UI"/>
            <family val="2"/>
          </rPr>
          <t>Américo:</t>
        </r>
        <r>
          <rPr>
            <sz val="9"/>
            <color indexed="81"/>
            <rFont val="Segoe UI"/>
            <family val="2"/>
          </rPr>
          <t xml:space="preserve">
Colocar formatação condicional</t>
        </r>
      </text>
    </comment>
    <comment ref="I29" authorId="0" shapeId="0" xr:uid="{69299293-A2C1-4377-B637-E2D43D861D8D}">
      <text>
        <r>
          <rPr>
            <b/>
            <sz val="9"/>
            <color indexed="81"/>
            <rFont val="Segoe UI"/>
            <family val="2"/>
          </rPr>
          <t>Américo:</t>
        </r>
        <r>
          <rPr>
            <sz val="9"/>
            <color indexed="81"/>
            <rFont val="Segoe UI"/>
            <family val="2"/>
          </rPr>
          <t xml:space="preserve">
Colocar fomartação condicional</t>
        </r>
      </text>
    </comment>
    <comment ref="B40" authorId="0" shapeId="0" xr:uid="{B39C4C85-A6B9-41D9-A082-5F2BAC25ECCF}">
      <text>
        <r>
          <rPr>
            <b/>
            <sz val="9"/>
            <color indexed="81"/>
            <rFont val="Segoe UI"/>
            <family val="2"/>
          </rPr>
          <t>Américo:</t>
        </r>
        <r>
          <rPr>
            <sz val="9"/>
            <color indexed="81"/>
            <rFont val="Segoe UI"/>
            <family val="2"/>
          </rPr>
          <t xml:space="preserve">
Não tem valor ainda
</t>
        </r>
      </text>
    </comment>
    <comment ref="B48" authorId="0" shapeId="0" xr:uid="{3445E5FB-B052-452E-81AF-95129F0506AD}">
      <text>
        <r>
          <rPr>
            <b/>
            <sz val="9"/>
            <color indexed="81"/>
            <rFont val="Segoe UI"/>
            <family val="2"/>
          </rPr>
          <t>Américo:</t>
        </r>
        <r>
          <rPr>
            <sz val="9"/>
            <color indexed="81"/>
            <rFont val="Segoe UI"/>
            <family val="2"/>
          </rPr>
          <t xml:space="preserve">
Não tem valor ainda
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Américo</author>
  </authors>
  <commentList>
    <comment ref="B13" authorId="0" shapeId="0" xr:uid="{01DA2563-46FD-4163-8406-DD458AE4FD0C}">
      <text>
        <r>
          <rPr>
            <b/>
            <sz val="9"/>
            <color indexed="81"/>
            <rFont val="Segoe UI"/>
            <family val="2"/>
          </rPr>
          <t>Américo:</t>
        </r>
        <r>
          <rPr>
            <sz val="9"/>
            <color indexed="81"/>
            <rFont val="Segoe UI"/>
            <family val="2"/>
          </rPr>
          <t xml:space="preserve">
Somatória das despesas origatórias + Despesas não recorrentes + Mercado + Cuidados Pessoais</t>
        </r>
      </text>
    </comment>
    <comment ref="F26" authorId="0" shapeId="0" xr:uid="{EF99B3B3-5514-4E84-9344-B2A26D3E2DCD}">
      <text>
        <r>
          <rPr>
            <b/>
            <sz val="9"/>
            <color indexed="81"/>
            <rFont val="Tahoma"/>
            <family val="2"/>
          </rPr>
          <t>Américo: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 xml:space="preserve">Valores simbolicos
</t>
        </r>
      </text>
    </comment>
    <comment ref="J26" authorId="0" shapeId="0" xr:uid="{AFE1610C-1056-4289-B33E-ED1D6BF1E20C}">
      <text>
        <r>
          <rPr>
            <b/>
            <sz val="9"/>
            <color indexed="81"/>
            <rFont val="Segoe UI"/>
            <family val="2"/>
          </rPr>
          <t>Américo:</t>
        </r>
        <r>
          <rPr>
            <sz val="9"/>
            <color indexed="81"/>
            <rFont val="Segoe UI"/>
            <family val="2"/>
          </rPr>
          <t xml:space="preserve">
Colocar formatação condicional</t>
        </r>
      </text>
    </comment>
    <comment ref="I29" authorId="0" shapeId="0" xr:uid="{8B659020-A58E-48CD-A443-A1C93B8A4414}">
      <text>
        <r>
          <rPr>
            <b/>
            <sz val="9"/>
            <color indexed="81"/>
            <rFont val="Segoe UI"/>
            <family val="2"/>
          </rPr>
          <t>Américo:</t>
        </r>
        <r>
          <rPr>
            <sz val="9"/>
            <color indexed="81"/>
            <rFont val="Segoe UI"/>
            <family val="2"/>
          </rPr>
          <t xml:space="preserve">
Colocar fomartação condicional</t>
        </r>
      </text>
    </comment>
    <comment ref="B41" authorId="0" shapeId="0" xr:uid="{C8978EA0-7D0A-4DB3-84FB-FA673087A168}">
      <text>
        <r>
          <rPr>
            <b/>
            <sz val="9"/>
            <color indexed="81"/>
            <rFont val="Segoe UI"/>
            <family val="2"/>
          </rPr>
          <t>Américo:</t>
        </r>
        <r>
          <rPr>
            <sz val="9"/>
            <color indexed="81"/>
            <rFont val="Segoe UI"/>
            <family val="2"/>
          </rPr>
          <t xml:space="preserve">
Não tem valor ainda
</t>
        </r>
      </text>
    </comment>
    <comment ref="B48" authorId="0" shapeId="0" xr:uid="{3D233070-A4B0-4BE9-9CED-B88081366C43}">
      <text>
        <r>
          <rPr>
            <b/>
            <sz val="9"/>
            <color indexed="81"/>
            <rFont val="Segoe UI"/>
            <family val="2"/>
          </rPr>
          <t>Américo:</t>
        </r>
        <r>
          <rPr>
            <sz val="9"/>
            <color indexed="81"/>
            <rFont val="Segoe UI"/>
            <family val="2"/>
          </rPr>
          <t xml:space="preserve">
Não tem valor ainda
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Américo</author>
  </authors>
  <commentList>
    <comment ref="B13" authorId="0" shapeId="0" xr:uid="{317357F0-4C2A-4B74-8219-A128EAAAB320}">
      <text>
        <r>
          <rPr>
            <b/>
            <sz val="9"/>
            <color indexed="81"/>
            <rFont val="Segoe UI"/>
            <family val="2"/>
          </rPr>
          <t>Américo:</t>
        </r>
        <r>
          <rPr>
            <sz val="9"/>
            <color indexed="81"/>
            <rFont val="Segoe UI"/>
            <family val="2"/>
          </rPr>
          <t xml:space="preserve">
Somatória das despesas origatórias + Despesas não recorrentes + Mercado + Cuidados Pessoais</t>
        </r>
      </text>
    </comment>
    <comment ref="J26" authorId="0" shapeId="0" xr:uid="{9585F2D4-C171-4B72-B8CF-E8479AA9B983}">
      <text>
        <r>
          <rPr>
            <b/>
            <sz val="9"/>
            <color indexed="81"/>
            <rFont val="Segoe UI"/>
            <family val="2"/>
          </rPr>
          <t>Américo:</t>
        </r>
        <r>
          <rPr>
            <sz val="9"/>
            <color indexed="81"/>
            <rFont val="Segoe UI"/>
            <family val="2"/>
          </rPr>
          <t xml:space="preserve">
Colocar formatação condicional</t>
        </r>
      </text>
    </comment>
    <comment ref="I29" authorId="0" shapeId="0" xr:uid="{7B074B7B-1854-46E1-A51F-0A6190004AC5}">
      <text>
        <r>
          <rPr>
            <b/>
            <sz val="9"/>
            <color indexed="81"/>
            <rFont val="Segoe UI"/>
            <family val="2"/>
          </rPr>
          <t>Américo:</t>
        </r>
        <r>
          <rPr>
            <sz val="9"/>
            <color indexed="81"/>
            <rFont val="Segoe UI"/>
            <family val="2"/>
          </rPr>
          <t xml:space="preserve">
Colocar fomartação condicional</t>
        </r>
      </text>
    </comment>
    <comment ref="B40" authorId="0" shapeId="0" xr:uid="{30D69A42-99AE-4306-873C-C4164662791E}">
      <text>
        <r>
          <rPr>
            <b/>
            <sz val="9"/>
            <color indexed="81"/>
            <rFont val="Segoe UI"/>
            <family val="2"/>
          </rPr>
          <t>Américo:</t>
        </r>
        <r>
          <rPr>
            <sz val="9"/>
            <color indexed="81"/>
            <rFont val="Segoe UI"/>
            <family val="2"/>
          </rPr>
          <t xml:space="preserve">
Não tem valor ainda
</t>
        </r>
      </text>
    </comment>
    <comment ref="B50" authorId="0" shapeId="0" xr:uid="{F8ADDAEF-BB24-4187-A9E3-9CA2A73A8688}">
      <text>
        <r>
          <rPr>
            <b/>
            <sz val="9"/>
            <color indexed="81"/>
            <rFont val="Segoe UI"/>
            <family val="2"/>
          </rPr>
          <t>Américo:</t>
        </r>
        <r>
          <rPr>
            <sz val="9"/>
            <color indexed="81"/>
            <rFont val="Segoe UI"/>
            <family val="2"/>
          </rPr>
          <t xml:space="preserve">
Não tem valor ainda
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Américo</author>
  </authors>
  <commentList>
    <comment ref="B13" authorId="0" shapeId="0" xr:uid="{7705C4D1-FA4E-45BB-916E-3A4EE0B0D029}">
      <text>
        <r>
          <rPr>
            <b/>
            <sz val="9"/>
            <color indexed="81"/>
            <rFont val="Segoe UI"/>
            <family val="2"/>
          </rPr>
          <t>Américo:</t>
        </r>
        <r>
          <rPr>
            <sz val="9"/>
            <color indexed="81"/>
            <rFont val="Segoe UI"/>
            <family val="2"/>
          </rPr>
          <t xml:space="preserve">
Somatória das despesas origatórias + Despesas não recorrentes + Mercado + Cuidados Pessoais</t>
        </r>
      </text>
    </comment>
    <comment ref="F25" authorId="0" shapeId="0" xr:uid="{9E2CFA58-9B89-4243-A712-E1057BD23C88}">
      <text>
        <r>
          <rPr>
            <b/>
            <sz val="9"/>
            <color indexed="81"/>
            <rFont val="Tahoma"/>
            <family val="2"/>
          </rPr>
          <t>Américo: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 xml:space="preserve">Valores simbolicos
</t>
        </r>
      </text>
    </comment>
    <comment ref="J25" authorId="0" shapeId="0" xr:uid="{0198518C-9E62-40C9-AE1F-D172756F444A}">
      <text>
        <r>
          <rPr>
            <b/>
            <sz val="9"/>
            <color indexed="81"/>
            <rFont val="Segoe UI"/>
            <family val="2"/>
          </rPr>
          <t>Américo:</t>
        </r>
        <r>
          <rPr>
            <sz val="9"/>
            <color indexed="81"/>
            <rFont val="Segoe UI"/>
            <family val="2"/>
          </rPr>
          <t xml:space="preserve">
Colocar formatação condicional</t>
        </r>
      </text>
    </comment>
    <comment ref="B40" authorId="0" shapeId="0" xr:uid="{39A9849E-9BE6-4562-9AA4-7D0D1C311A69}">
      <text>
        <r>
          <rPr>
            <b/>
            <sz val="9"/>
            <color indexed="81"/>
            <rFont val="Segoe UI"/>
            <family val="2"/>
          </rPr>
          <t>Américo:</t>
        </r>
        <r>
          <rPr>
            <sz val="9"/>
            <color indexed="81"/>
            <rFont val="Segoe UI"/>
            <family val="2"/>
          </rPr>
          <t xml:space="preserve">
Não tem valor ainda
</t>
        </r>
      </text>
    </comment>
    <comment ref="B48" authorId="0" shapeId="0" xr:uid="{6A0756EE-5955-4C11-8CA2-892C90F1C173}">
      <text>
        <r>
          <rPr>
            <b/>
            <sz val="9"/>
            <color indexed="81"/>
            <rFont val="Segoe UI"/>
            <family val="2"/>
          </rPr>
          <t>Américo:</t>
        </r>
        <r>
          <rPr>
            <sz val="9"/>
            <color indexed="81"/>
            <rFont val="Segoe UI"/>
            <family val="2"/>
          </rPr>
          <t xml:space="preserve">
Não tem valor ainda
</t>
        </r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Américo</author>
  </authors>
  <commentList>
    <comment ref="B13" authorId="0" shapeId="0" xr:uid="{B5CE3190-B8F9-45FA-8095-9DF315BC338B}">
      <text>
        <r>
          <rPr>
            <b/>
            <sz val="9"/>
            <color indexed="81"/>
            <rFont val="Segoe UI"/>
            <family val="2"/>
          </rPr>
          <t>Américo:</t>
        </r>
        <r>
          <rPr>
            <sz val="9"/>
            <color indexed="81"/>
            <rFont val="Segoe UI"/>
            <family val="2"/>
          </rPr>
          <t xml:space="preserve">
Somatória das despesas origatórias + Despesas não recorrentes + Mercado + Cuidados Pessoais</t>
        </r>
      </text>
    </comment>
    <comment ref="F26" authorId="0" shapeId="0" xr:uid="{30854237-74E9-41CE-B663-4E00E050CC00}">
      <text>
        <r>
          <rPr>
            <b/>
            <sz val="9"/>
            <color indexed="81"/>
            <rFont val="Tahoma"/>
            <family val="2"/>
          </rPr>
          <t>Américo: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 xml:space="preserve">Valores simbolicos
</t>
        </r>
      </text>
    </comment>
    <comment ref="J26" authorId="0" shapeId="0" xr:uid="{4EA7025D-FA0A-45EB-A04D-B26C11A42A07}">
      <text>
        <r>
          <rPr>
            <b/>
            <sz val="9"/>
            <color indexed="81"/>
            <rFont val="Segoe UI"/>
            <family val="2"/>
          </rPr>
          <t>Américo:</t>
        </r>
        <r>
          <rPr>
            <sz val="9"/>
            <color indexed="81"/>
            <rFont val="Segoe UI"/>
            <family val="2"/>
          </rPr>
          <t xml:space="preserve">
Colocar formatação condicional</t>
        </r>
      </text>
    </comment>
    <comment ref="I29" authorId="0" shapeId="0" xr:uid="{DB1C1BA0-56E2-42B3-BDB6-B75B806FE0C6}">
      <text>
        <r>
          <rPr>
            <b/>
            <sz val="9"/>
            <color indexed="81"/>
            <rFont val="Segoe UI"/>
            <family val="2"/>
          </rPr>
          <t>Américo:</t>
        </r>
        <r>
          <rPr>
            <sz val="9"/>
            <color indexed="81"/>
            <rFont val="Segoe UI"/>
            <family val="2"/>
          </rPr>
          <t xml:space="preserve">
Colocar fomartação condicional</t>
        </r>
      </text>
    </comment>
    <comment ref="B44" authorId="0" shapeId="0" xr:uid="{F3E6C95F-562E-458F-820E-3EB36E0D870D}">
      <text>
        <r>
          <rPr>
            <b/>
            <sz val="9"/>
            <color indexed="81"/>
            <rFont val="Segoe UI"/>
            <family val="2"/>
          </rPr>
          <t>Américo:</t>
        </r>
        <r>
          <rPr>
            <sz val="9"/>
            <color indexed="81"/>
            <rFont val="Segoe UI"/>
            <family val="2"/>
          </rPr>
          <t xml:space="preserve">
Não tem valor ainda
</t>
        </r>
      </text>
    </comment>
    <comment ref="B59" authorId="0" shapeId="0" xr:uid="{C88E9E2C-F944-437F-8B4C-FF5498647BA3}">
      <text>
        <r>
          <rPr>
            <b/>
            <sz val="9"/>
            <color indexed="81"/>
            <rFont val="Segoe UI"/>
            <family val="2"/>
          </rPr>
          <t>Américo:</t>
        </r>
        <r>
          <rPr>
            <sz val="9"/>
            <color indexed="81"/>
            <rFont val="Segoe UI"/>
            <family val="2"/>
          </rPr>
          <t xml:space="preserve">
Não tem valor ainda
</t>
        </r>
      </text>
    </comment>
  </commentList>
</comments>
</file>

<file path=xl/sharedStrings.xml><?xml version="1.0" encoding="utf-8"?>
<sst xmlns="http://schemas.openxmlformats.org/spreadsheetml/2006/main" count="848" uniqueCount="110">
  <si>
    <t>Data de Vencimento</t>
  </si>
  <si>
    <t>Data de Pagamento</t>
  </si>
  <si>
    <t>Valor</t>
  </si>
  <si>
    <t>Status</t>
  </si>
  <si>
    <t>Luz</t>
  </si>
  <si>
    <t>Gás</t>
  </si>
  <si>
    <t>Internet</t>
  </si>
  <si>
    <t>Mercado</t>
  </si>
  <si>
    <t>Condominio</t>
  </si>
  <si>
    <t>Nubank</t>
  </si>
  <si>
    <t>Dias de atraso</t>
  </si>
  <si>
    <t>Descrição</t>
  </si>
  <si>
    <t>Despesas Obrigatórias</t>
  </si>
  <si>
    <t>Data</t>
  </si>
  <si>
    <t>Total de itens</t>
  </si>
  <si>
    <t>Assai</t>
  </si>
  <si>
    <t>Total</t>
  </si>
  <si>
    <t>Higiene</t>
  </si>
  <si>
    <t>Compra  na farmacia</t>
  </si>
  <si>
    <t>Guanabara</t>
  </si>
  <si>
    <t>Pago</t>
  </si>
  <si>
    <t>Dinheiro</t>
  </si>
  <si>
    <t>Forma de Pagamento</t>
  </si>
  <si>
    <t>Dinhero</t>
  </si>
  <si>
    <t>Planilha de Controle Financeiro Pessoal 2021</t>
  </si>
  <si>
    <t>Salário</t>
  </si>
  <si>
    <t>Aposentadoria</t>
  </si>
  <si>
    <t>Renda Extra</t>
  </si>
  <si>
    <t>Valores</t>
  </si>
  <si>
    <t>13º Terceiro</t>
  </si>
  <si>
    <t xml:space="preserve"> Valores </t>
  </si>
  <si>
    <t>Total Despesas</t>
  </si>
  <si>
    <t>Saldo Total</t>
  </si>
  <si>
    <t>Next</t>
  </si>
  <si>
    <t>Total Receita</t>
  </si>
  <si>
    <t>Rede Economia</t>
  </si>
  <si>
    <t>Média das Despesas</t>
  </si>
  <si>
    <t>Média dos Gastos</t>
  </si>
  <si>
    <t>Média das Compras</t>
  </si>
  <si>
    <t>Total Liquído</t>
  </si>
  <si>
    <t>Despesas Não Recorrentes</t>
  </si>
  <si>
    <t>Médico</t>
  </si>
  <si>
    <t>Cuidados Pessoais</t>
  </si>
  <si>
    <t>Lazer</t>
  </si>
  <si>
    <t>Vender Livros</t>
  </si>
  <si>
    <t>Receitas no mês</t>
  </si>
  <si>
    <t>Saldo Líquido</t>
  </si>
  <si>
    <t xml:space="preserve">          Percentual de Renda Gasta</t>
  </si>
  <si>
    <t>Cinema</t>
  </si>
  <si>
    <t>Janeiro</t>
  </si>
  <si>
    <t>Fevereiro</t>
  </si>
  <si>
    <t>Março</t>
  </si>
  <si>
    <t>Abril</t>
  </si>
  <si>
    <t>Maio</t>
  </si>
  <si>
    <t>Junho</t>
  </si>
  <si>
    <t>Julho</t>
  </si>
  <si>
    <t>Agosto</t>
  </si>
  <si>
    <t>Setembro</t>
  </si>
  <si>
    <t>Outubro</t>
  </si>
  <si>
    <t>Novembro</t>
  </si>
  <si>
    <t>Dezembro</t>
  </si>
  <si>
    <t>Mês</t>
  </si>
  <si>
    <t xml:space="preserve">Não Recorrentes </t>
  </si>
  <si>
    <t>Não Recorrentes</t>
  </si>
  <si>
    <t>Despesas</t>
  </si>
  <si>
    <t>Inflação/Deflação</t>
  </si>
  <si>
    <t>Análise</t>
  </si>
  <si>
    <t xml:space="preserve">     Total Despesas</t>
  </si>
  <si>
    <t>Mês de referência</t>
  </si>
  <si>
    <t>Obrigatórias</t>
  </si>
  <si>
    <t>Venda Online</t>
  </si>
  <si>
    <t>Total 12 Meses</t>
  </si>
  <si>
    <t>ok</t>
  </si>
  <si>
    <t>Aspirador de Pó</t>
  </si>
  <si>
    <t>Assaí</t>
  </si>
  <si>
    <t>Hortifrute</t>
  </si>
  <si>
    <t>Compra de Legumes e frutas</t>
  </si>
  <si>
    <t xml:space="preserve"> revisar</t>
  </si>
  <si>
    <t>RedeEconomia</t>
  </si>
  <si>
    <t>Revenda</t>
  </si>
  <si>
    <t>Pizza</t>
  </si>
  <si>
    <t>Lanche</t>
  </si>
  <si>
    <t xml:space="preserve">Rede Economia </t>
  </si>
  <si>
    <t>Vendas Creme</t>
  </si>
  <si>
    <t>Creme</t>
  </si>
  <si>
    <t>Gelol</t>
  </si>
  <si>
    <t>Mês com menor gasto</t>
  </si>
  <si>
    <t>Mês com maior gasto</t>
  </si>
  <si>
    <t>Roupa Natal Hugo</t>
  </si>
  <si>
    <t>Roupa Natal Lucas</t>
  </si>
  <si>
    <t>Videos</t>
  </si>
  <si>
    <t>Tirar o saldo total Ok</t>
  </si>
  <si>
    <t>Melhorar as macros</t>
  </si>
  <si>
    <t>Planilha de Controle Financeiro Pessoal 2022</t>
  </si>
  <si>
    <t>melhorar macro</t>
  </si>
  <si>
    <t>otima macro</t>
  </si>
  <si>
    <t>pegando bem</t>
  </si>
  <si>
    <t>Carro</t>
  </si>
  <si>
    <t>Camisa</t>
  </si>
  <si>
    <t>melhorarada macro</t>
  </si>
  <si>
    <t>macro melhorada</t>
  </si>
  <si>
    <t>melhorada</t>
  </si>
  <si>
    <t>melhorada macro</t>
  </si>
  <si>
    <t>macro ok</t>
  </si>
  <si>
    <t>Melhorada a macro</t>
  </si>
  <si>
    <t>Medico</t>
  </si>
  <si>
    <t>Pegando bem</t>
  </si>
  <si>
    <t xml:space="preserve">macro ok </t>
  </si>
  <si>
    <t>Banheiro</t>
  </si>
  <si>
    <t>Aluguel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</si>
</sst>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-&quot;R$&quot;\ * #,##0.00_-;\-&quot;R$&quot;\ * #,##0.00_-;_-&quot;R$&quot;\ * &quot;-&quot;??_-;_-@_-"/>
    <numFmt numFmtId="164" formatCode="&quot;R$&quot;\ #,##0.00"/>
  </numFmts>
  <fonts count="2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0"/>
      <color indexed="81"/>
      <name val="Tahoma"/>
      <family val="2"/>
    </font>
    <font>
      <b/>
      <sz val="20"/>
      <color theme="2"/>
      <name val="Times New Roman"/>
      <family val="1"/>
    </font>
    <font>
      <sz val="10"/>
      <color theme="1"/>
      <name val="Calibri"/>
      <family val="2"/>
      <scheme val="minor"/>
    </font>
    <font>
      <sz val="9"/>
      <color indexed="81"/>
      <name val="Segoe UI"/>
      <family val="2"/>
    </font>
    <font>
      <sz val="9"/>
      <color theme="1"/>
      <name val="Calibri"/>
      <family val="2"/>
      <scheme val="minor"/>
    </font>
    <font>
      <b/>
      <sz val="9"/>
      <color indexed="81"/>
      <name val="Segoe UI"/>
      <family val="2"/>
    </font>
    <font>
      <b/>
      <sz val="11"/>
      <color theme="3" tint="-0.499984740745262"/>
      <name val="Calibri"/>
      <family val="2"/>
      <scheme val="minor"/>
    </font>
    <font>
      <b/>
      <sz val="14"/>
      <color theme="3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1"/>
      <color theme="5"/>
      <name val="Calibri"/>
      <family val="2"/>
      <scheme val="minor"/>
    </font>
    <font>
      <b/>
      <sz val="11"/>
      <color theme="3" tint="-0.249977111117893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3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/>
        <bgColor theme="4"/>
      </patternFill>
    </fill>
  </fills>
  <borders count="8">
    <border>
      <left/>
      <right/>
      <top/>
      <bottom/>
      <diagonal/>
    </border>
    <border>
      <left style="medium">
        <color theme="3" tint="-0.24994659260841701"/>
      </left>
      <right/>
      <top style="medium">
        <color theme="3" tint="-0.24994659260841701"/>
      </top>
      <bottom style="thin">
        <color indexed="64"/>
      </bottom>
      <diagonal/>
    </border>
    <border>
      <left/>
      <right style="medium">
        <color theme="3" tint="-0.24994659260841701"/>
      </right>
      <top style="medium">
        <color theme="3" tint="-0.24994659260841701"/>
      </top>
      <bottom style="thin">
        <color indexed="64"/>
      </bottom>
      <diagonal/>
    </border>
    <border>
      <left style="medium">
        <color theme="3" tint="-0.24994659260841701"/>
      </left>
      <right/>
      <top style="thin">
        <color indexed="64"/>
      </top>
      <bottom style="medium">
        <color theme="3" tint="-0.24994659260841701"/>
      </bottom>
      <diagonal/>
    </border>
    <border>
      <left/>
      <right style="medium">
        <color theme="3" tint="-0.24994659260841701"/>
      </right>
      <top style="thin">
        <color indexed="64"/>
      </top>
      <bottom style="medium">
        <color theme="3" tint="-0.2499465926084170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119">
    <xf numFmtId="0" fontId="0" fillId="0" borderId="0" xfId="0"/>
    <xf numFmtId="0" fontId="0" fillId="2" borderId="0" xfId="0" applyFill="1"/>
    <xf numFmtId="0" fontId="0" fillId="4" borderId="0" xfId="0" applyFill="1" applyAlignment="1">
      <alignment horizontal="center"/>
    </xf>
    <xf numFmtId="0" fontId="0" fillId="4" borderId="0" xfId="0" applyFill="1"/>
    <xf numFmtId="44" fontId="0" fillId="4" borderId="0" xfId="2" applyFont="1" applyFill="1"/>
    <xf numFmtId="0" fontId="0" fillId="4" borderId="0" xfId="0" applyFill="1" applyBorder="1"/>
    <xf numFmtId="44" fontId="0" fillId="0" borderId="0" xfId="2" applyFont="1"/>
    <xf numFmtId="0" fontId="0" fillId="0" borderId="0" xfId="0" applyAlignment="1">
      <alignment horizontal="center"/>
    </xf>
    <xf numFmtId="0" fontId="8" fillId="0" borderId="0" xfId="0" applyFont="1" applyAlignment="1">
      <alignment horizontal="center"/>
    </xf>
    <xf numFmtId="0" fontId="10" fillId="0" borderId="0" xfId="0" applyFont="1" applyAlignment="1">
      <alignment horizontal="center"/>
    </xf>
    <xf numFmtId="0" fontId="10" fillId="0" borderId="0" xfId="0" applyFont="1" applyAlignment="1"/>
    <xf numFmtId="14" fontId="0" fillId="0" borderId="0" xfId="0" applyNumberFormat="1" applyAlignment="1">
      <alignment horizontal="center"/>
    </xf>
    <xf numFmtId="0" fontId="7" fillId="2" borderId="0" xfId="0" applyFont="1" applyFill="1" applyAlignment="1">
      <alignment horizontal="left" vertical="top"/>
    </xf>
    <xf numFmtId="44" fontId="1" fillId="0" borderId="0" xfId="2" applyFont="1"/>
    <xf numFmtId="0" fontId="0" fillId="0" borderId="0" xfId="0" applyBorder="1"/>
    <xf numFmtId="44" fontId="12" fillId="3" borderId="0" xfId="0" applyNumberFormat="1" applyFont="1" applyFill="1"/>
    <xf numFmtId="0" fontId="10" fillId="0" borderId="0" xfId="0" applyFont="1" applyAlignment="1">
      <alignment horizontal="left"/>
    </xf>
    <xf numFmtId="0" fontId="13" fillId="0" borderId="0" xfId="0" applyFont="1" applyBorder="1" applyAlignment="1">
      <alignment horizontal="center"/>
    </xf>
    <xf numFmtId="0" fontId="2" fillId="4" borderId="0" xfId="0" applyFont="1" applyFill="1" applyBorder="1" applyAlignment="1">
      <alignment horizontal="center"/>
    </xf>
    <xf numFmtId="44" fontId="2" fillId="3" borderId="0" xfId="0" applyNumberFormat="1" applyFont="1" applyFill="1"/>
    <xf numFmtId="14" fontId="0" fillId="0" borderId="0" xfId="0" applyNumberFormat="1" applyFont="1"/>
    <xf numFmtId="0" fontId="1" fillId="0" borderId="0" xfId="2" applyNumberFormat="1" applyFont="1" applyAlignment="1">
      <alignment horizontal="left"/>
    </xf>
    <xf numFmtId="14" fontId="1" fillId="0" borderId="0" xfId="0" applyNumberFormat="1" applyFont="1"/>
    <xf numFmtId="164" fontId="2" fillId="3" borderId="0" xfId="0" applyNumberFormat="1" applyFont="1" applyFill="1"/>
    <xf numFmtId="0" fontId="2" fillId="0" borderId="0" xfId="0" applyFont="1"/>
    <xf numFmtId="44" fontId="2" fillId="0" borderId="0" xfId="2" applyFont="1"/>
    <xf numFmtId="44" fontId="0" fillId="6" borderId="5" xfId="2" applyNumberFormat="1" applyFont="1" applyFill="1" applyBorder="1"/>
    <xf numFmtId="44" fontId="0" fillId="6" borderId="6" xfId="2" applyNumberFormat="1" applyFont="1" applyFill="1" applyBorder="1"/>
    <xf numFmtId="0" fontId="8" fillId="4" borderId="0" xfId="0" applyFont="1" applyFill="1" applyAlignment="1">
      <alignment horizontal="center"/>
    </xf>
    <xf numFmtId="44" fontId="2" fillId="4" borderId="0" xfId="2" applyFont="1" applyFill="1"/>
    <xf numFmtId="0" fontId="8" fillId="4" borderId="0" xfId="2" applyNumberFormat="1" applyFont="1" applyFill="1" applyAlignment="1">
      <alignment horizontal="center"/>
    </xf>
    <xf numFmtId="0" fontId="14" fillId="5" borderId="1" xfId="0" applyFont="1" applyFill="1" applyBorder="1" applyAlignment="1">
      <alignment horizontal="left"/>
    </xf>
    <xf numFmtId="0" fontId="14" fillId="5" borderId="2" xfId="0" applyFont="1" applyFill="1" applyBorder="1" applyAlignment="1">
      <alignment horizontal="left"/>
    </xf>
    <xf numFmtId="0" fontId="16" fillId="0" borderId="0" xfId="0" applyFont="1"/>
    <xf numFmtId="44" fontId="16" fillId="0" borderId="0" xfId="2" applyFont="1" applyAlignment="1">
      <alignment horizontal="left"/>
    </xf>
    <xf numFmtId="0" fontId="0" fillId="0" borderId="0" xfId="0" applyFont="1" applyAlignment="1">
      <alignment horizontal="left"/>
    </xf>
    <xf numFmtId="0" fontId="15" fillId="0" borderId="0" xfId="0" applyFont="1" applyAlignment="1">
      <alignment horizontal="left"/>
    </xf>
    <xf numFmtId="0" fontId="16" fillId="0" borderId="0" xfId="0" applyFont="1" applyAlignment="1">
      <alignment horizontal="center"/>
    </xf>
    <xf numFmtId="0" fontId="16" fillId="0" borderId="0" xfId="2" applyNumberFormat="1" applyFont="1" applyAlignment="1">
      <alignment horizontal="center"/>
    </xf>
    <xf numFmtId="0" fontId="2" fillId="4" borderId="0" xfId="0" applyFont="1" applyFill="1" applyBorder="1" applyAlignment="1">
      <alignment horizontal="center"/>
    </xf>
    <xf numFmtId="164" fontId="0" fillId="0" borderId="0" xfId="2" applyNumberFormat="1" applyFont="1"/>
    <xf numFmtId="44" fontId="12" fillId="4" borderId="0" xfId="0" applyNumberFormat="1" applyFont="1" applyFill="1"/>
    <xf numFmtId="0" fontId="2" fillId="4" borderId="0" xfId="0" applyFont="1" applyFill="1" applyBorder="1" applyAlignment="1">
      <alignment horizontal="center"/>
    </xf>
    <xf numFmtId="164" fontId="12" fillId="3" borderId="0" xfId="0" applyNumberFormat="1" applyFont="1" applyFill="1"/>
    <xf numFmtId="0" fontId="2" fillId="4" borderId="0" xfId="0" applyFont="1" applyFill="1"/>
    <xf numFmtId="0" fontId="2" fillId="4" borderId="0" xfId="0" applyFont="1" applyFill="1" applyAlignment="1">
      <alignment horizontal="center"/>
    </xf>
    <xf numFmtId="0" fontId="15" fillId="0" borderId="0" xfId="0" applyFont="1"/>
    <xf numFmtId="0" fontId="2" fillId="3" borderId="0" xfId="0" applyFont="1" applyFill="1"/>
    <xf numFmtId="44" fontId="2" fillId="0" borderId="0" xfId="2" applyNumberFormat="1" applyFont="1"/>
    <xf numFmtId="0" fontId="2" fillId="4" borderId="0" xfId="0" applyFont="1" applyFill="1" applyBorder="1" applyAlignment="1">
      <alignment horizontal="center"/>
    </xf>
    <xf numFmtId="0" fontId="0" fillId="5" borderId="0" xfId="0" applyFill="1"/>
    <xf numFmtId="44" fontId="2" fillId="0" borderId="0" xfId="0" applyNumberFormat="1" applyFont="1"/>
    <xf numFmtId="0" fontId="2" fillId="7" borderId="0" xfId="0" applyFont="1" applyFill="1" applyAlignment="1">
      <alignment horizontal="center"/>
    </xf>
    <xf numFmtId="0" fontId="2" fillId="0" borderId="0" xfId="0" applyFont="1" applyAlignment="1">
      <alignment horizontal="center"/>
    </xf>
    <xf numFmtId="9" fontId="2" fillId="0" borderId="0" xfId="1" applyFont="1" applyAlignment="1">
      <alignment horizontal="center"/>
    </xf>
    <xf numFmtId="0" fontId="2" fillId="0" borderId="0" xfId="0" applyFont="1" applyBorder="1"/>
    <xf numFmtId="0" fontId="15" fillId="0" borderId="0" xfId="0" applyFont="1" applyAlignment="1">
      <alignment horizontal="center"/>
    </xf>
    <xf numFmtId="0" fontId="8" fillId="0" borderId="0" xfId="0" applyFont="1" applyAlignment="1"/>
    <xf numFmtId="44" fontId="15" fillId="0" borderId="0" xfId="2" applyFont="1" applyAlignment="1">
      <alignment horizontal="left"/>
    </xf>
    <xf numFmtId="0" fontId="15" fillId="0" borderId="0" xfId="2" applyNumberFormat="1" applyFont="1" applyAlignment="1">
      <alignment horizontal="center"/>
    </xf>
    <xf numFmtId="0" fontId="0" fillId="0" borderId="0" xfId="0" applyNumberFormat="1" applyFont="1" applyAlignment="1">
      <alignment horizontal="left"/>
    </xf>
    <xf numFmtId="14" fontId="0" fillId="0" borderId="0" xfId="0" applyNumberFormat="1" applyFont="1" applyAlignment="1">
      <alignment horizontal="center"/>
    </xf>
    <xf numFmtId="14" fontId="8" fillId="0" borderId="0" xfId="0" applyNumberFormat="1" applyFont="1" applyAlignment="1">
      <alignment horizontal="center"/>
    </xf>
    <xf numFmtId="164" fontId="0" fillId="6" borderId="6" xfId="2" applyNumberFormat="1" applyFont="1" applyFill="1" applyBorder="1"/>
    <xf numFmtId="0" fontId="0" fillId="0" borderId="0" xfId="0" applyFont="1" applyAlignment="1">
      <alignment horizontal="center"/>
    </xf>
    <xf numFmtId="0" fontId="15" fillId="0" borderId="0" xfId="0" applyFont="1" applyAlignment="1"/>
    <xf numFmtId="14" fontId="2" fillId="0" borderId="0" xfId="0" applyNumberFormat="1" applyFont="1" applyAlignment="1">
      <alignment horizontal="center"/>
    </xf>
    <xf numFmtId="14" fontId="2" fillId="0" borderId="0" xfId="0" applyNumberFormat="1" applyFont="1" applyAlignment="1">
      <alignment horizontal="center" vertical="center"/>
    </xf>
    <xf numFmtId="164" fontId="2" fillId="0" borderId="0" xfId="2" applyNumberFormat="1" applyFont="1" applyAlignment="1">
      <alignment horizontal="center"/>
    </xf>
    <xf numFmtId="44" fontId="2" fillId="0" borderId="0" xfId="2" applyFont="1" applyAlignment="1">
      <alignment horizontal="center"/>
    </xf>
    <xf numFmtId="0" fontId="18" fillId="0" borderId="0" xfId="0" applyFont="1" applyAlignment="1">
      <alignment horizontal="center"/>
    </xf>
    <xf numFmtId="164" fontId="2" fillId="0" borderId="0" xfId="2" applyNumberFormat="1" applyFont="1"/>
    <xf numFmtId="0" fontId="2" fillId="0" borderId="0" xfId="2" applyNumberFormat="1" applyFont="1" applyAlignment="1">
      <alignment horizontal="left"/>
    </xf>
    <xf numFmtId="164" fontId="2" fillId="0" borderId="0" xfId="0" applyNumberFormat="1" applyFont="1" applyAlignment="1">
      <alignment horizontal="center"/>
    </xf>
    <xf numFmtId="0" fontId="19" fillId="0" borderId="0" xfId="0" applyFont="1" applyAlignment="1">
      <alignment horizontal="center"/>
    </xf>
    <xf numFmtId="14" fontId="19" fillId="0" borderId="0" xfId="0" applyNumberFormat="1" applyFont="1" applyAlignment="1">
      <alignment horizontal="center"/>
    </xf>
    <xf numFmtId="164" fontId="19" fillId="0" borderId="0" xfId="2" applyNumberFormat="1" applyFont="1" applyAlignment="1">
      <alignment horizontal="center"/>
    </xf>
    <xf numFmtId="14" fontId="2" fillId="0" borderId="0" xfId="0" applyNumberFormat="1" applyFont="1"/>
    <xf numFmtId="44" fontId="12" fillId="3" borderId="0" xfId="0" applyNumberFormat="1" applyFont="1" applyFill="1" applyAlignment="1">
      <alignment horizontal="center"/>
    </xf>
    <xf numFmtId="0" fontId="2" fillId="0" borderId="0" xfId="2" applyNumberFormat="1" applyFont="1" applyAlignment="1">
      <alignment horizontal="center"/>
    </xf>
    <xf numFmtId="0" fontId="20" fillId="0" borderId="0" xfId="0" applyFont="1" applyAlignment="1">
      <alignment horizontal="center"/>
    </xf>
    <xf numFmtId="0" fontId="2" fillId="0" borderId="0" xfId="0" applyNumberFormat="1" applyFont="1" applyAlignment="1">
      <alignment horizontal="center"/>
    </xf>
    <xf numFmtId="0" fontId="21" fillId="8" borderId="5" xfId="0" applyFont="1" applyFill="1" applyBorder="1"/>
    <xf numFmtId="0" fontId="21" fillId="8" borderId="7" xfId="0" applyFont="1" applyFill="1" applyBorder="1"/>
    <xf numFmtId="164" fontId="0" fillId="0" borderId="0" xfId="1" applyNumberFormat="1" applyFont="1" applyAlignment="1"/>
    <xf numFmtId="164" fontId="2" fillId="0" borderId="0" xfId="1" applyNumberFormat="1" applyFont="1" applyAlignment="1"/>
    <xf numFmtId="164" fontId="1" fillId="0" borderId="0" xfId="2" applyNumberFormat="1" applyFont="1"/>
    <xf numFmtId="164" fontId="2" fillId="3" borderId="0" xfId="0" applyNumberFormat="1" applyFont="1" applyFill="1" applyAlignment="1">
      <alignment horizontal="center"/>
    </xf>
    <xf numFmtId="164" fontId="12" fillId="3" borderId="0" xfId="0" applyNumberFormat="1" applyFont="1" applyFill="1" applyAlignment="1">
      <alignment horizontal="center"/>
    </xf>
    <xf numFmtId="0" fontId="2" fillId="7" borderId="5" xfId="0" applyFont="1" applyFill="1" applyBorder="1"/>
    <xf numFmtId="44" fontId="2" fillId="7" borderId="7" xfId="0" applyNumberFormat="1" applyFont="1" applyFill="1" applyBorder="1" applyAlignment="1"/>
    <xf numFmtId="0" fontId="2" fillId="0" borderId="5" xfId="0" applyFont="1" applyBorder="1"/>
    <xf numFmtId="44" fontId="2" fillId="0" borderId="7" xfId="0" applyNumberFormat="1" applyFont="1" applyBorder="1" applyAlignment="1"/>
    <xf numFmtId="0" fontId="2" fillId="6" borderId="5" xfId="0" applyFont="1" applyFill="1" applyBorder="1"/>
    <xf numFmtId="44" fontId="2" fillId="6" borderId="7" xfId="0" applyNumberFormat="1" applyFont="1" applyFill="1" applyBorder="1" applyAlignment="1"/>
    <xf numFmtId="44" fontId="2" fillId="3" borderId="0" xfId="0" applyNumberFormat="1" applyFont="1" applyFill="1" applyAlignment="1">
      <alignment horizontal="center"/>
    </xf>
    <xf numFmtId="164" fontId="2" fillId="3" borderId="0" xfId="2" applyNumberFormat="1" applyFont="1" applyFill="1" applyAlignment="1">
      <alignment horizontal="center"/>
    </xf>
    <xf numFmtId="164" fontId="12" fillId="3" borderId="0" xfId="2" applyNumberFormat="1" applyFont="1" applyFill="1" applyAlignment="1">
      <alignment horizontal="center"/>
    </xf>
    <xf numFmtId="164" fontId="0" fillId="3" borderId="0" xfId="0" applyNumberFormat="1" applyFont="1" applyFill="1" applyAlignment="1">
      <alignment horizontal="center"/>
    </xf>
    <xf numFmtId="0" fontId="18" fillId="0" borderId="0" xfId="0" applyFont="1" applyAlignment="1">
      <alignment horizontal="left"/>
    </xf>
    <xf numFmtId="14" fontId="20" fillId="0" borderId="0" xfId="0" applyNumberFormat="1" applyFont="1" applyAlignment="1">
      <alignment horizontal="center"/>
    </xf>
    <xf numFmtId="0" fontId="1" fillId="0" borderId="0" xfId="2" applyNumberFormat="1" applyFont="1" applyAlignment="1">
      <alignment horizontal="center"/>
    </xf>
    <xf numFmtId="164" fontId="3" fillId="5" borderId="0" xfId="0" applyNumberFormat="1" applyFont="1" applyFill="1" applyAlignment="1">
      <alignment horizontal="center"/>
    </xf>
    <xf numFmtId="0" fontId="22" fillId="5" borderId="0" xfId="0" applyFont="1" applyFill="1"/>
    <xf numFmtId="164" fontId="22" fillId="5" borderId="0" xfId="0" applyNumberFormat="1" applyFont="1" applyFill="1"/>
    <xf numFmtId="164" fontId="2" fillId="7" borderId="0" xfId="0" applyNumberFormat="1" applyFont="1" applyFill="1" applyAlignment="1">
      <alignment horizontal="center"/>
    </xf>
    <xf numFmtId="0" fontId="22" fillId="5" borderId="0" xfId="0" applyFont="1" applyFill="1" applyAlignment="1">
      <alignment horizontal="center"/>
    </xf>
    <xf numFmtId="0" fontId="20" fillId="0" borderId="0" xfId="2" applyNumberFormat="1" applyFont="1" applyAlignment="1">
      <alignment horizontal="center"/>
    </xf>
    <xf numFmtId="0" fontId="2" fillId="4" borderId="0" xfId="0" applyNumberFormat="1" applyFont="1" applyFill="1" applyAlignment="1">
      <alignment horizontal="center"/>
    </xf>
    <xf numFmtId="164" fontId="2" fillId="4" borderId="0" xfId="0" applyNumberFormat="1" applyFont="1" applyFill="1" applyAlignment="1">
      <alignment horizontal="center"/>
    </xf>
    <xf numFmtId="14" fontId="2" fillId="4" borderId="0" xfId="0" applyNumberFormat="1" applyFont="1" applyFill="1" applyAlignment="1">
      <alignment horizontal="center"/>
    </xf>
    <xf numFmtId="164" fontId="12" fillId="4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3" fillId="6" borderId="6" xfId="2" applyNumberFormat="1" applyFont="1" applyFill="1" applyBorder="1"/>
    <xf numFmtId="44" fontId="24" fillId="0" borderId="0" xfId="2" applyFont="1"/>
    <xf numFmtId="0" fontId="1" fillId="0" borderId="0" xfId="0" applyFont="1"/>
    <xf numFmtId="0" fontId="2" fillId="4" borderId="0" xfId="0" applyFont="1" applyFill="1" applyBorder="1" applyAlignment="1">
      <alignment horizontal="center"/>
    </xf>
    <xf numFmtId="9" fontId="0" fillId="0" borderId="3" xfId="0" applyNumberFormat="1" applyFont="1" applyBorder="1" applyAlignment="1">
      <alignment horizontal="center"/>
    </xf>
    <xf numFmtId="9" fontId="0" fillId="0" borderId="4" xfId="0" applyNumberFormat="1" applyFont="1" applyBorder="1" applyAlignment="1">
      <alignment horizontal="center"/>
    </xf>
  </cellXfs>
  <cellStyles count="3">
    <cellStyle name="Moeda" xfId="2" builtinId="4"/>
    <cellStyle name="Normal" xfId="0" builtinId="0"/>
    <cellStyle name="Porcentagem" xfId="1" builtinId="5"/>
  </cellStyles>
  <dxfs count="637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9C0006"/>
      </font>
      <fill>
        <patternFill>
          <bgColor rgb="FFFFC7CE"/>
        </patternFill>
      </fill>
    </dxf>
    <dxf>
      <font>
        <b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R$&quot;\ #,##0.0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9" formatCode="dd/mm/yyyy"/>
    </dxf>
    <dxf>
      <font>
        <b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</font>
      <numFmt numFmtId="19" formatCode="dd/mm/yyyy"/>
      <alignment horizontal="center" vertical="bottom" textRotation="0" wrapText="0" indent="0" justifyLastLine="0" shrinkToFit="0" readingOrder="0"/>
    </dxf>
    <dxf>
      <font>
        <b/>
      </font>
      <numFmt numFmtId="164" formatCode="&quot;R$&quot;\ #,##0.00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</dxf>
    <dxf>
      <font>
        <b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9" formatCode="dd/mm/yyyy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R$&quot;\ #,##0.00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</dxf>
    <dxf>
      <font>
        <b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9" formatCode="dd/mm/yyyy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R$&quot;\ #,##0.00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</dxf>
    <dxf>
      <font>
        <b/>
      </font>
      <numFmt numFmtId="19" formatCode="dd/mm/yyyy"/>
      <alignment horizontal="center" vertical="bottom" textRotation="0" wrapText="0" indent="0" justifyLastLine="0" shrinkToFit="0" readingOrder="0"/>
    </dxf>
    <dxf>
      <font>
        <b/>
      </font>
      <alignment horizontal="center" vertical="bottom" textRotation="0" wrapText="0" indent="0" justifyLastLine="0" shrinkToFit="0" readingOrder="0"/>
    </dxf>
    <dxf>
      <font>
        <b/>
      </font>
      <numFmt numFmtId="164" formatCode="&quot;R$&quot;\ #,##0.00"/>
      <alignment horizontal="center" vertical="bottom" textRotation="0" wrapText="0" indent="0" justifyLastLine="0" shrinkToFit="0" readingOrder="0"/>
    </dxf>
    <dxf>
      <font>
        <b/>
      </font>
      <alignment horizontal="center" vertical="bottom" textRotation="0" wrapText="0" indent="0" justifyLastLine="0" shrinkToFit="0" readingOrder="0"/>
    </dxf>
    <dxf>
      <font>
        <b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/>
      </font>
      <alignment horizontal="center" vertical="bottom" textRotation="0" wrapText="0" indent="0" justifyLastLine="0" shrinkToFit="0" readingOrder="0"/>
    </dxf>
    <dxf>
      <font>
        <b/>
      </font>
      <alignment horizontal="center" vertical="bottom" textRotation="0" wrapText="0" indent="0" justifyLastLine="0" shrinkToFit="0" readingOrder="0"/>
    </dxf>
    <dxf>
      <font>
        <b/>
      </font>
      <alignment horizontal="center" vertical="bottom" textRotation="0" wrapText="0" indent="0" justifyLastLine="0" shrinkToFit="0" readingOrder="0"/>
    </dxf>
    <dxf>
      <font>
        <b/>
      </font>
      <numFmt numFmtId="19" formatCode="dd/mm/yyyy"/>
      <alignment horizontal="center" vertical="bottom" textRotation="0" wrapText="0" indent="0" justifyLastLine="0" shrinkToFit="0" readingOrder="0"/>
    </dxf>
    <dxf>
      <font>
        <b/>
      </font>
      <numFmt numFmtId="164" formatCode="&quot;R$&quot;\ #,##0.00"/>
      <alignment horizontal="center" vertical="bottom" textRotation="0" wrapText="0" indent="0" justifyLastLine="0" shrinkToFit="0" readingOrder="0"/>
    </dxf>
    <dxf>
      <font>
        <b/>
      </font>
      <alignment horizontal="center" vertical="bottom" textRotation="0" wrapText="0" indent="0" justifyLastLine="0" shrinkToFit="0" readingOrder="0"/>
    </dxf>
    <dxf>
      <font>
        <b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/>
      </font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/>
      </font>
      <numFmt numFmtId="19" formatCode="dd/mm/yyyy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/>
      </font>
      <numFmt numFmtId="19" formatCode="dd/mm/yyyy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/>
      </font>
      <numFmt numFmtId="164" formatCode="&quot;R$&quot;\ #,##0.0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font>
        <b/>
      </font>
      <alignment horizontal="center" vertical="bottom" textRotation="0" wrapText="0" indent="0" justifyLastLine="0" shrinkToFit="0" readingOrder="0"/>
    </dxf>
    <dxf>
      <font>
        <b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</font>
      <numFmt numFmtId="19" formatCode="dd/mm/yyyy"/>
    </dxf>
    <dxf>
      <font>
        <b/>
      </font>
      <numFmt numFmtId="164" formatCode="&quot;R$&quot;\ #,##0.00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alignment horizontal="left" vertical="bottom" textRotation="0" wrapText="0" indent="0" justifyLastLine="0" shrinkToFit="0" readingOrder="0"/>
    </dxf>
    <dxf>
      <font>
        <b/>
      </font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</dxf>
    <dxf>
      <font>
        <b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9" formatCode="dd/mm/yyyy"/>
    </dxf>
    <dxf>
      <font>
        <b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R$&quot;\ #,##0.00"/>
      <alignment horizontal="center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</dxf>
    <dxf>
      <font>
        <b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9" formatCode="dd/mm/yyyy"/>
    </dxf>
    <dxf>
      <font>
        <b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R$&quot;\ #,##0.00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left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</dxf>
    <dxf>
      <font>
        <b/>
      </font>
      <numFmt numFmtId="19" formatCode="dd/mm/yyyy"/>
      <alignment horizontal="center" vertical="bottom" textRotation="0" wrapText="0" indent="0" justifyLastLine="0" shrinkToFit="0" readingOrder="0"/>
    </dxf>
    <dxf>
      <font>
        <b/>
      </font>
      <alignment horizontal="center" vertical="bottom" textRotation="0" wrapText="0" indent="0" justifyLastLine="0" shrinkToFit="0" readingOrder="0"/>
    </dxf>
    <dxf>
      <font>
        <b/>
      </font>
      <numFmt numFmtId="164" formatCode="&quot;R$&quot;\ #,##0.00"/>
      <alignment horizontal="center" vertical="bottom" textRotation="0" wrapText="0" indent="0" justifyLastLine="0" shrinkToFit="0" readingOrder="0"/>
    </dxf>
    <dxf>
      <font>
        <b/>
      </font>
    </dxf>
    <dxf>
      <font>
        <b/>
      </font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/>
      </font>
      <alignment horizontal="center" vertical="bottom" textRotation="0" wrapText="0" indent="0" justifyLastLine="0" shrinkToFit="0" readingOrder="0"/>
    </dxf>
    <dxf>
      <font>
        <b/>
      </font>
      <alignment horizontal="center" vertical="bottom" textRotation="0" wrapText="0" indent="0" justifyLastLine="0" shrinkToFit="0" readingOrder="0"/>
    </dxf>
    <dxf>
      <font>
        <b/>
      </font>
      <alignment horizontal="center" vertical="bottom" textRotation="0" wrapText="0" indent="0" justifyLastLine="0" shrinkToFit="0" readingOrder="0"/>
    </dxf>
    <dxf>
      <font>
        <b/>
      </font>
      <numFmt numFmtId="19" formatCode="dd/mm/yyyy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R$&quot;\ #,##0.00"/>
      <alignment horizontal="center" vertical="bottom" textRotation="0" wrapText="0" indent="0" justifyLastLine="0" shrinkToFit="0" readingOrder="0"/>
    </dxf>
    <dxf>
      <font>
        <b/>
      </font>
    </dxf>
    <dxf>
      <font>
        <b/>
      </font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/>
      </font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19" formatCode="dd/mm/yyyy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19" formatCode="dd/mm/yyyy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164" formatCode="&quot;R$&quot;\ 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19" formatCode="dd/mm/yyyy"/>
    </dxf>
    <dxf>
      <font>
        <b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R$&quot;\ #,##0.00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9" formatCode="dd/mm/yyyy"/>
    </dxf>
    <dxf>
      <font>
        <b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R$&quot;\ #,##0.00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9" formatCode="dd/mm/yyyy"/>
    </dxf>
    <dxf>
      <font>
        <b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R$&quot;\ #,##0.00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</dxf>
    <dxf>
      <font>
        <b/>
      </font>
      <numFmt numFmtId="19" formatCode="dd/mm/yyyy"/>
      <alignment horizontal="center" vertical="bottom" textRotation="0" wrapText="0" indent="0" justifyLastLine="0" shrinkToFit="0" readingOrder="0"/>
    </dxf>
    <dxf>
      <font>
        <b/>
      </font>
      <alignment horizontal="center" vertical="bottom" textRotation="0" wrapText="0" indent="0" justifyLastLine="0" shrinkToFit="0" readingOrder="0"/>
    </dxf>
    <dxf>
      <font>
        <b/>
      </font>
      <numFmt numFmtId="164" formatCode="&quot;R$&quot;\ #,##0.00"/>
      <alignment horizontal="center" vertical="bottom" textRotation="0" wrapText="0" indent="0" justifyLastLine="0" shrinkToFit="0" readingOrder="0"/>
    </dxf>
    <dxf>
      <font>
        <b/>
      </font>
      <alignment horizontal="center" vertical="bottom" textRotation="0" wrapText="0" indent="0" justifyLastLine="0" shrinkToFit="0" readingOrder="0"/>
    </dxf>
    <dxf>
      <font>
        <b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9" formatCode="dd/mm/yyyy"/>
      <alignment horizontal="center" vertical="bottom" textRotation="0" wrapText="0" indent="0" justifyLastLine="0" shrinkToFit="0" readingOrder="0"/>
    </dxf>
    <dxf>
      <font>
        <b/>
      </font>
      <numFmt numFmtId="164" formatCode="&quot;R$&quot;\ #,##0.00"/>
      <alignment horizontal="center" vertical="bottom" textRotation="0" wrapText="0" indent="0" justifyLastLine="0" shrinkToFit="0" readingOrder="0"/>
    </dxf>
    <dxf>
      <font>
        <b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/>
      </font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/>
      </font>
      <numFmt numFmtId="19" formatCode="dd/mm/yyyy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/>
      </font>
      <numFmt numFmtId="19" formatCode="dd/mm/yyyy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/>
      </font>
      <numFmt numFmtId="164" formatCode="&quot;R$&quot;\ #,##0.0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font>
        <b/>
      </font>
      <alignment horizontal="center" vertical="bottom" textRotation="0" wrapText="0" indent="0" justifyLastLine="0" shrinkToFit="0" readingOrder="0"/>
    </dxf>
    <dxf>
      <font>
        <b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19" formatCode="dd/mm/yyyy"/>
    </dxf>
    <dxf>
      <font>
        <b/>
      </font>
      <numFmt numFmtId="164" formatCode="&quot;R$&quot;\ #,##0.0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</dxf>
    <dxf>
      <font>
        <b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9" formatCode="dd/mm/yyyy"/>
    </dxf>
    <dxf>
      <font>
        <b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R$&quot;\ #,##0.00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left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</dxf>
    <dxf>
      <font>
        <b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9" formatCode="dd/mm/yyyy"/>
    </dxf>
    <dxf>
      <font>
        <b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R$&quot;\ #,##0.00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left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</dxf>
    <dxf>
      <font>
        <b/>
      </font>
      <numFmt numFmtId="19" formatCode="dd/mm/yyyy"/>
      <alignment horizontal="center" vertical="bottom" textRotation="0" wrapText="0" indent="0" justifyLastLine="0" shrinkToFit="0" readingOrder="0"/>
    </dxf>
    <dxf>
      <font>
        <b/>
      </font>
      <alignment horizontal="center" vertical="bottom" textRotation="0" wrapText="0" indent="0" justifyLastLine="0" shrinkToFit="0" readingOrder="0"/>
    </dxf>
    <dxf>
      <font>
        <b/>
      </font>
      <numFmt numFmtId="164" formatCode="&quot;R$&quot;\ #,##0.00"/>
      <alignment horizontal="center" vertical="bottom" textRotation="0" wrapText="0" indent="0" justifyLastLine="0" shrinkToFit="0" readingOrder="0"/>
    </dxf>
    <dxf>
      <font>
        <b/>
      </font>
      <alignment horizontal="center" vertical="bottom" textRotation="0" wrapText="0" indent="0" justifyLastLine="0" shrinkToFit="0" readingOrder="0"/>
    </dxf>
    <dxf>
      <font>
        <b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9" formatCode="dd/mm/yyyy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64" formatCode="&quot;R$&quot;\ #,##0.00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/>
      </font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/>
      </font>
      <numFmt numFmtId="19" formatCode="dd/mm/yyyy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/>
      </font>
      <numFmt numFmtId="19" formatCode="dd/mm/yyyy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/>
      </font>
      <numFmt numFmtId="164" formatCode="&quot;R$&quot;\ #,##0.0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font>
        <b/>
      </font>
      <alignment horizontal="center" vertical="bottom" textRotation="0" wrapText="0" indent="0" justifyLastLine="0" shrinkToFit="0" readingOrder="0"/>
    </dxf>
    <dxf>
      <font>
        <b/>
        <family val="2"/>
      </font>
      <alignment horizontal="center" vertical="bottom" textRotation="0" wrapText="0" indent="0" justifyLastLine="0" shrinkToFit="0" readingOrder="0"/>
    </dxf>
    <dxf>
      <font>
        <b/>
        <family val="2"/>
      </font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R$&quot;\ #,##0.00"/>
      <alignment horizontal="general" vertical="bottom" textRotation="0" wrapText="0" indent="0" justifyLastLine="0" shrinkToFit="0" readingOrder="0"/>
    </dxf>
    <dxf>
      <numFmt numFmtId="19" formatCode="dd/mm/yyyy"/>
    </dxf>
    <dxf>
      <font>
        <b/>
      </font>
      <numFmt numFmtId="164" formatCode="&quot;R$&quot;\ #,##0.0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9" formatCode="dd/mm/yyyy"/>
    </dxf>
    <dxf>
      <font>
        <b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R$&quot;\ #,##0.0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9" formatCode="dd/mm/yyyy"/>
    </dxf>
    <dxf>
      <font>
        <b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R$&quot;\ #,##0.0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</dxf>
    <dxf>
      <font>
        <b/>
      </font>
      <numFmt numFmtId="19" formatCode="dd/mm/yyyy"/>
      <alignment horizontal="center" vertical="bottom" textRotation="0" wrapText="0" indent="0" justifyLastLine="0" shrinkToFit="0" readingOrder="0"/>
    </dxf>
    <dxf>
      <font>
        <b/>
      </font>
      <alignment horizontal="center" vertical="bottom" textRotation="0" wrapText="0" indent="0" justifyLastLine="0" shrinkToFit="0" readingOrder="0"/>
    </dxf>
    <dxf>
      <font>
        <b/>
      </font>
      <numFmt numFmtId="164" formatCode="&quot;R$&quot;\ #,##0.00"/>
      <alignment horizontal="center" vertical="bottom" textRotation="0" wrapText="0" indent="0" justifyLastLine="0" shrinkToFit="0" readingOrder="0"/>
    </dxf>
    <dxf>
      <font>
        <b/>
      </font>
      <alignment horizontal="center" vertical="bottom" textRotation="0" wrapText="0" indent="0" justifyLastLine="0" shrinkToFit="0" readingOrder="0"/>
    </dxf>
    <dxf>
      <font>
        <b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/>
      </font>
      <alignment horizontal="center" vertical="bottom" textRotation="0" wrapText="0" indent="0" justifyLastLine="0" shrinkToFit="0" readingOrder="0"/>
    </dxf>
    <dxf>
      <font>
        <b/>
      </font>
      <alignment horizontal="center" vertical="bottom" textRotation="0" wrapText="0" indent="0" justifyLastLine="0" shrinkToFit="0" readingOrder="0"/>
    </dxf>
    <dxf>
      <font>
        <b/>
      </font>
      <alignment horizontal="center" vertical="bottom" textRotation="0" wrapText="0" indent="0" justifyLastLine="0" shrinkToFit="0" readingOrder="0"/>
    </dxf>
    <dxf>
      <font>
        <b/>
      </font>
      <numFmt numFmtId="19" formatCode="dd/mm/yyyy"/>
      <alignment horizontal="center" vertical="bottom" textRotation="0" wrapText="0" indent="0" justifyLastLine="0" shrinkToFit="0" readingOrder="0"/>
    </dxf>
    <dxf>
      <font>
        <b/>
      </font>
      <numFmt numFmtId="164" formatCode="&quot;R$&quot;\ #,##0.00"/>
      <alignment horizontal="center" vertical="bottom" textRotation="0" wrapText="0" indent="0" justifyLastLine="0" shrinkToFit="0" readingOrder="0"/>
    </dxf>
    <dxf>
      <font>
        <b/>
      </font>
    </dxf>
    <dxf>
      <font>
        <b/>
      </font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R$&quot;\ 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/>
      </font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/>
      </font>
      <numFmt numFmtId="19" formatCode="dd/mm/yyyy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/>
      </font>
      <numFmt numFmtId="19" formatCode="dd/mm/yyyy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/>
      </font>
      <numFmt numFmtId="164" formatCode="&quot;R$&quot;\ #,##0.0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font>
        <b/>
      </font>
      <alignment horizontal="center" vertical="bottom" textRotation="0" wrapText="0" indent="0" justifyLastLine="0" shrinkToFit="0" readingOrder="0"/>
    </dxf>
    <dxf>
      <font>
        <b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19" formatCode="dd/mm/yyyy"/>
    </dxf>
    <dxf>
      <font>
        <b/>
      </font>
      <numFmt numFmtId="164" formatCode="&quot;R$&quot;\ #,##0.0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9" formatCode="dd/mm/yyyy"/>
    </dxf>
    <dxf>
      <font>
        <b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R$&quot;\ #,##0.0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9" formatCode="dd/mm/yyyy"/>
    </dxf>
    <dxf>
      <font>
        <b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R$&quot;\ #,##0.0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</dxf>
    <dxf>
      <font>
        <b/>
      </font>
      <numFmt numFmtId="19" formatCode="dd/mm/yyyy"/>
      <alignment horizontal="center" vertical="bottom" textRotation="0" wrapText="0" indent="0" justifyLastLine="0" shrinkToFit="0" readingOrder="0"/>
    </dxf>
    <dxf>
      <font>
        <b/>
      </font>
      <alignment horizontal="center" vertical="bottom" textRotation="0" wrapText="0" indent="0" justifyLastLine="0" shrinkToFit="0" readingOrder="0"/>
    </dxf>
    <dxf>
      <font>
        <b/>
      </font>
      <numFmt numFmtId="164" formatCode="&quot;R$&quot;\ #,##0.00"/>
      <alignment horizontal="center" vertical="bottom" textRotation="0" wrapText="0" indent="0" justifyLastLine="0" shrinkToFit="0" readingOrder="0"/>
    </dxf>
    <dxf>
      <font>
        <b/>
      </font>
      <alignment horizontal="center" vertical="bottom" textRotation="0" wrapText="0" indent="0" justifyLastLine="0" shrinkToFit="0" readingOrder="0"/>
    </dxf>
    <dxf>
      <font>
        <b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9" formatCode="dd/mm/yyyy"/>
      <alignment horizontal="center" vertical="bottom" textRotation="0" wrapText="0" indent="0" justifyLastLine="0" shrinkToFit="0" readingOrder="0"/>
    </dxf>
    <dxf>
      <font>
        <b/>
      </font>
      <numFmt numFmtId="164" formatCode="&quot;R$&quot;\ #,##0.0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/>
      </font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/>
      </font>
      <numFmt numFmtId="19" formatCode="dd/mm/yyyy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/>
      </font>
      <numFmt numFmtId="19" formatCode="dd/mm/yyyy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/>
      </font>
      <numFmt numFmtId="164" formatCode="&quot;R$&quot;\ #,##0.0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font>
        <b/>
      </font>
      <alignment horizontal="center" vertical="bottom" textRotation="0" wrapText="0" indent="0" justifyLastLine="0" shrinkToFit="0" readingOrder="0"/>
    </dxf>
    <dxf>
      <font>
        <b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19" formatCode="dd/mm/yyyy"/>
    </dxf>
    <dxf>
      <font>
        <b/>
      </font>
      <numFmt numFmtId="164" formatCode="&quot;R$&quot;\ #,##0.0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9" formatCode="dd/mm/yyyy"/>
    </dxf>
    <dxf>
      <font>
        <b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R$&quot;\ #,##0.0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9" formatCode="dd/mm/yyyy"/>
    </dxf>
    <dxf>
      <font>
        <b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R$&quot;\ #,##0.0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</dxf>
    <dxf>
      <font>
        <b/>
      </font>
      <numFmt numFmtId="19" formatCode="dd/mm/yyyy"/>
      <alignment horizontal="center" vertical="bottom" textRotation="0" wrapText="0" indent="0" justifyLastLine="0" shrinkToFit="0" readingOrder="0"/>
    </dxf>
    <dxf>
      <font>
        <b/>
      </font>
      <alignment horizontal="center" vertical="bottom" textRotation="0" wrapText="0" indent="0" justifyLastLine="0" shrinkToFit="0" readingOrder="0"/>
    </dxf>
    <dxf>
      <font>
        <b/>
      </font>
      <alignment horizontal="center" vertical="bottom" textRotation="0" wrapText="0" indent="0" justifyLastLine="0" shrinkToFit="0" readingOrder="0"/>
    </dxf>
    <dxf>
      <font>
        <b/>
      </font>
      <alignment horizontal="center" vertical="bottom" textRotation="0" wrapText="0" indent="0" justifyLastLine="0" shrinkToFit="0" readingOrder="0"/>
    </dxf>
    <dxf>
      <font>
        <b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/>
      </font>
      <alignment horizontal="center" vertical="bottom" textRotation="0" wrapText="0" indent="0" justifyLastLine="0" shrinkToFit="0" readingOrder="0"/>
    </dxf>
    <dxf>
      <font>
        <b/>
      </font>
      <alignment horizontal="center" vertical="bottom" textRotation="0" wrapText="0" indent="0" justifyLastLine="0" shrinkToFit="0" readingOrder="0"/>
    </dxf>
    <dxf>
      <font>
        <b/>
      </font>
      <alignment horizontal="center" vertical="bottom" textRotation="0" wrapText="0" indent="0" justifyLastLine="0" shrinkToFit="0" readingOrder="0"/>
    </dxf>
    <dxf>
      <font>
        <b/>
      </font>
      <numFmt numFmtId="19" formatCode="dd/mm/yyyy"/>
      <alignment horizontal="center" vertical="bottom" textRotation="0" wrapText="0" indent="0" justifyLastLine="0" shrinkToFit="0" readingOrder="0"/>
    </dxf>
    <dxf>
      <font>
        <b/>
      </font>
      <numFmt numFmtId="164" formatCode="&quot;R$&quot;\ #,##0.00"/>
      <alignment horizontal="center" vertical="bottom" textRotation="0" wrapText="0" indent="0" justifyLastLine="0" shrinkToFit="0" readingOrder="0"/>
    </dxf>
    <dxf>
      <font>
        <b/>
      </font>
      <alignment horizontal="center" vertical="bottom" textRotation="0" wrapText="0" indent="0" justifyLastLine="0" shrinkToFit="0" readingOrder="0"/>
    </dxf>
    <dxf>
      <font>
        <b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/>
      </font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/>
      </font>
      <numFmt numFmtId="19" formatCode="dd/mm/yyyy"/>
      <alignment horizont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/>
      </font>
      <numFmt numFmtId="19" formatCode="dd/mm/yyyy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font>
        <b/>
      </font>
      <alignment horizontal="center" textRotation="0" wrapText="0" indent="0" justifyLastLine="0" shrinkToFit="0" readingOrder="0"/>
    </dxf>
    <dxf>
      <font>
        <b/>
      </font>
      <alignment horizont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19" formatCode="dd/mm/yyyy"/>
    </dxf>
    <dxf>
      <font>
        <b/>
      </font>
      <numFmt numFmtId="164" formatCode="&quot;R$&quot;\ #,##0.0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9" formatCode="dd/mm/yyyy"/>
    </dxf>
    <dxf>
      <font>
        <b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R$&quot;\ #,##0.0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9" formatCode="dd/mm/yyyy"/>
    </dxf>
    <dxf>
      <font>
        <b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R$&quot;\ #,##0.0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</dxf>
    <dxf>
      <font>
        <b/>
      </font>
      <numFmt numFmtId="19" formatCode="dd/mm/yyyy"/>
      <alignment horizontal="center" vertical="bottom" textRotation="0" wrapText="0" indent="0" justifyLastLine="0" shrinkToFit="0" readingOrder="0"/>
    </dxf>
    <dxf>
      <font>
        <b/>
      </font>
      <alignment horizontal="center" vertical="bottom" textRotation="0" wrapText="0" indent="0" justifyLastLine="0" shrinkToFit="0" readingOrder="0"/>
    </dxf>
    <dxf>
      <font>
        <b/>
      </font>
      <numFmt numFmtId="164" formatCode="&quot;R$&quot;\ #,##0.00"/>
      <alignment horizontal="center" vertical="bottom" textRotation="0" wrapText="0" indent="0" justifyLastLine="0" shrinkToFit="0" readingOrder="0"/>
    </dxf>
    <dxf>
      <font>
        <b/>
      </font>
      <alignment horizontal="center" vertical="bottom" textRotation="0" wrapText="0" indent="0" justifyLastLine="0" shrinkToFit="0" readingOrder="0"/>
    </dxf>
    <dxf>
      <font>
        <b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9" formatCode="dd/mm/yyyy"/>
      <alignment horizontal="center" vertical="bottom" textRotation="0" wrapText="0" indent="0" justifyLastLine="0" shrinkToFit="0" readingOrder="0"/>
    </dxf>
    <dxf>
      <font>
        <b/>
      </font>
      <numFmt numFmtId="164" formatCode="&quot;R$&quot;\ #,##0.0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/>
      </font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/>
      </font>
      <numFmt numFmtId="19" formatCode="dd/mm/yyyy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/>
      </font>
      <numFmt numFmtId="19" formatCode="dd/mm/yyyy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/>
      </font>
      <numFmt numFmtId="164" formatCode="&quot;R$&quot;\ #,##0.0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font>
        <b/>
      </font>
      <alignment horizontal="center" vertical="bottom" textRotation="0" wrapText="0" indent="0" justifyLastLine="0" shrinkToFit="0" readingOrder="0"/>
    </dxf>
    <dxf>
      <font>
        <b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</dxf>
    <dxf>
      <font>
        <b/>
      </font>
      <numFmt numFmtId="19" formatCode="dd/mm/yyyy"/>
      <alignment horizontal="center" vertical="bottom" textRotation="0" wrapText="0" indent="0" justifyLastLine="0" shrinkToFit="0" readingOrder="0"/>
    </dxf>
    <dxf>
      <font>
        <b/>
      </font>
      <numFmt numFmtId="164" formatCode="&quot;R$&quot;\ #,##0.00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</dxf>
    <dxf>
      <font>
        <b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9" formatCode="dd/mm/yyyy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R$&quot;\ #,##0.00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</dxf>
    <dxf>
      <font>
        <b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9" formatCode="dd/mm/yyyy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R$&quot;\ #,##0.00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</dxf>
    <dxf>
      <font>
        <b/>
      </font>
      <numFmt numFmtId="19" formatCode="dd/mm/yyyy"/>
      <alignment horizontal="center" vertical="bottom" textRotation="0" wrapText="0" indent="0" justifyLastLine="0" shrinkToFit="0" readingOrder="0"/>
    </dxf>
    <dxf>
      <font>
        <b/>
      </font>
      <alignment horizontal="center" vertical="bottom" textRotation="0" wrapText="0" indent="0" justifyLastLine="0" shrinkToFit="0" readingOrder="0"/>
    </dxf>
    <dxf>
      <font>
        <b/>
      </font>
      <numFmt numFmtId="164" formatCode="&quot;R$&quot;\ #,##0.00"/>
      <alignment horizontal="center" vertical="bottom" textRotation="0" wrapText="0" indent="0" justifyLastLine="0" shrinkToFit="0" readingOrder="0"/>
    </dxf>
    <dxf>
      <font>
        <b/>
      </font>
      <alignment horizontal="center" vertical="bottom" textRotation="0" wrapText="0" indent="0" justifyLastLine="0" shrinkToFit="0" readingOrder="0"/>
    </dxf>
    <dxf>
      <font>
        <b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/>
      </font>
      <alignment horizontal="center" vertical="bottom" textRotation="0" wrapText="0" indent="0" justifyLastLine="0" shrinkToFit="0" readingOrder="0"/>
    </dxf>
    <dxf>
      <font>
        <b/>
      </font>
      <alignment horizontal="center" vertical="bottom" textRotation="0" wrapText="0" indent="0" justifyLastLine="0" shrinkToFit="0" readingOrder="0"/>
    </dxf>
    <dxf>
      <font>
        <b/>
      </font>
      <alignment horizontal="center" vertical="bottom" textRotation="0" wrapText="0" indent="0" justifyLastLine="0" shrinkToFit="0" readingOrder="0"/>
    </dxf>
    <dxf>
      <font>
        <b/>
      </font>
      <numFmt numFmtId="19" formatCode="dd/mm/yyyy"/>
      <alignment horizontal="center" vertical="bottom" textRotation="0" wrapText="0" indent="0" justifyLastLine="0" shrinkToFit="0" readingOrder="0"/>
    </dxf>
    <dxf>
      <font>
        <b/>
      </font>
      <numFmt numFmtId="164" formatCode="&quot;R$&quot;\ #,##0.00"/>
      <alignment horizontal="center" vertical="bottom" textRotation="0" wrapText="0" indent="0" justifyLastLine="0" shrinkToFit="0" readingOrder="0"/>
    </dxf>
    <dxf>
      <font>
        <b/>
      </font>
      <alignment horizontal="center" vertical="bottom" textRotation="0" wrapText="0" indent="0" justifyLastLine="0" shrinkToFit="0" readingOrder="0"/>
    </dxf>
    <dxf>
      <font>
        <b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/>
      </font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/>
      </font>
      <numFmt numFmtId="19" formatCode="dd/mm/yyyy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/>
      </font>
      <numFmt numFmtId="19" formatCode="dd/mm/yyyy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/>
      </font>
      <numFmt numFmtId="164" formatCode="&quot;R$&quot;\ #,##0.0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font>
        <b/>
      </font>
      <alignment horizontal="center" vertical="bottom" textRotation="0" wrapText="0" indent="0" justifyLastLine="0" shrinkToFit="0" readingOrder="0"/>
    </dxf>
    <dxf>
      <font>
        <b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19" formatCode="dd/mm/yyyy"/>
    </dxf>
    <dxf>
      <font>
        <b/>
      </font>
      <numFmt numFmtId="164" formatCode="&quot;R$&quot;\ #,##0.00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9" formatCode="dd/mm/yyyy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R$&quot;\ #,##0.0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/>
      </font>
      <numFmt numFmtId="19" formatCode="dd/mm/yyyy"/>
      <alignment horizontal="center" vertical="bottom" textRotation="0" wrapText="0" indent="0" justifyLastLine="0" shrinkToFit="0" readingOrder="0"/>
    </dxf>
    <dxf>
      <font>
        <b/>
      </font>
      <alignment horizontal="center" vertical="bottom" textRotation="0" wrapText="0" indent="0" justifyLastLine="0" shrinkToFit="0" readingOrder="0"/>
    </dxf>
    <dxf>
      <font>
        <b/>
      </font>
      <numFmt numFmtId="164" formatCode="&quot;R$&quot;\ #,##0.00"/>
      <alignment horizontal="center" vertical="bottom" textRotation="0" wrapText="0" indent="0" justifyLastLine="0" shrinkToFit="0" readingOrder="0"/>
    </dxf>
    <dxf>
      <font>
        <b/>
      </font>
      <alignment horizontal="center" vertical="bottom" textRotation="0" wrapText="0" indent="0" justifyLastLine="0" shrinkToFit="0" readingOrder="0"/>
    </dxf>
    <dxf>
      <font>
        <b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9" formatCode="dd/mm/yyyy"/>
      <alignment horizontal="center" vertical="bottom" textRotation="0" wrapText="0" indent="0" justifyLastLine="0" shrinkToFit="0" readingOrder="0"/>
    </dxf>
    <dxf>
      <font>
        <b/>
      </font>
      <numFmt numFmtId="164" formatCode="&quot;R$&quot;\ #,##0.0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/>
      </font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/>
      </font>
      <numFmt numFmtId="19" formatCode="dd/mm/yyyy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/>
      </font>
      <numFmt numFmtId="19" formatCode="dd/mm/yyyy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/>
      </font>
      <numFmt numFmtId="164" formatCode="&quot;R$&quot;\ #,##0.0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font>
        <b/>
      </font>
      <alignment horizontal="center" vertical="bottom" textRotation="0" wrapText="0" indent="0" justifyLastLine="0" shrinkToFit="0" readingOrder="0"/>
    </dxf>
    <dxf>
      <font>
        <b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9" formatCode="dd/mm/yyyy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R$&quot;\ #,##0.00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9" formatCode="dd/mm/yyyy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R$&quot;\ #,##0.00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9" formatCode="dd/mm/yyyy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R$&quot;\ #,##0.00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</dxf>
    <dxf>
      <font>
        <b/>
      </font>
      <numFmt numFmtId="19" formatCode="dd/mm/yyyy"/>
      <alignment horizontal="center" vertical="bottom" textRotation="0" wrapText="0" indent="0" justifyLastLine="0" shrinkToFit="0" readingOrder="0"/>
    </dxf>
    <dxf>
      <font>
        <b/>
      </font>
      <alignment horizontal="center" vertical="bottom" textRotation="0" wrapText="0" indent="0" justifyLastLine="0" shrinkToFit="0" readingOrder="0"/>
    </dxf>
    <dxf>
      <font>
        <b/>
      </font>
      <numFmt numFmtId="164" formatCode="&quot;R$&quot;\ #,##0.00"/>
      <alignment horizontal="center" vertical="bottom" textRotation="0" wrapText="0" indent="0" justifyLastLine="0" shrinkToFit="0" readingOrder="0"/>
    </dxf>
    <dxf>
      <font>
        <b/>
      </font>
      <alignment horizontal="center" vertical="bottom" textRotation="0" wrapText="0" indent="0" justifyLastLine="0" shrinkToFit="0" readingOrder="0"/>
    </dxf>
    <dxf>
      <font>
        <b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/>
      </font>
      <alignment horizontal="center" vertical="bottom" textRotation="0" wrapText="0" indent="0" justifyLastLine="0" shrinkToFit="0" readingOrder="0"/>
    </dxf>
    <dxf>
      <font>
        <b/>
      </font>
      <alignment horizontal="center" vertical="bottom" textRotation="0" wrapText="0" indent="0" justifyLastLine="0" shrinkToFit="0" readingOrder="0"/>
    </dxf>
    <dxf>
      <font>
        <b/>
      </font>
      <alignment horizontal="center" vertical="bottom" textRotation="0" wrapText="0" indent="0" justifyLastLine="0" shrinkToFit="0" readingOrder="0"/>
    </dxf>
    <dxf>
      <font>
        <b/>
      </font>
      <numFmt numFmtId="19" formatCode="dd/mm/yyyy"/>
      <alignment horizontal="center" vertical="bottom" textRotation="0" wrapText="0" indent="0" justifyLastLine="0" shrinkToFit="0" readingOrder="0"/>
    </dxf>
    <dxf>
      <font>
        <b/>
      </font>
      <numFmt numFmtId="164" formatCode="&quot;R$&quot;\ #,##0.00"/>
      <alignment horizontal="center" vertical="bottom" textRotation="0" wrapText="0" indent="0" justifyLastLine="0" shrinkToFit="0" readingOrder="0"/>
    </dxf>
    <dxf>
      <font>
        <b/>
      </font>
      <alignment horizontal="center" vertical="bottom" textRotation="0" wrapText="0" indent="0" justifyLastLine="0" shrinkToFit="0" readingOrder="0"/>
    </dxf>
    <dxf>
      <font>
        <b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/>
      </font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/>
      </font>
      <numFmt numFmtId="19" formatCode="dd/mm/yyyy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/>
      </font>
      <numFmt numFmtId="19" formatCode="dd/mm/yyyy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/>
      </font>
      <numFmt numFmtId="164" formatCode="&quot;R$&quot;\ #,##0.0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font>
        <b/>
      </font>
      <alignment horizontal="center" vertical="bottom" textRotation="0" wrapText="0" indent="0" justifyLastLine="0" shrinkToFit="0" readingOrder="0"/>
    </dxf>
    <dxf>
      <font>
        <b/>
      </font>
      <alignment horizontal="center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9" formatCode="dd/mm/yyyy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R$&quot;\ #,##0.00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9" formatCode="dd/mm/yyyy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R$&quot;\ #,##0.00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9" formatCode="dd/mm/yyyy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R$&quot;\ #,##0.00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/>
      </font>
      <numFmt numFmtId="19" formatCode="dd/mm/yyyy"/>
      <alignment horizontal="center" vertical="bottom" textRotation="0" wrapText="0" indent="0" justifyLastLine="0" shrinkToFit="0" readingOrder="0"/>
    </dxf>
    <dxf>
      <font>
        <b/>
      </font>
      <alignment horizontal="center" vertical="bottom" textRotation="0" wrapText="0" indent="0" justifyLastLine="0" shrinkToFit="0" readingOrder="0"/>
    </dxf>
    <dxf>
      <font>
        <b/>
      </font>
      <numFmt numFmtId="164" formatCode="&quot;R$&quot;\ #,##0.00"/>
      <alignment horizontal="center" vertical="bottom" textRotation="0" wrapText="0" indent="0" justifyLastLine="0" shrinkToFit="0" readingOrder="0"/>
    </dxf>
    <dxf>
      <font>
        <b/>
      </font>
      <alignment horizontal="center" vertical="bottom" textRotation="0" wrapText="0" indent="0" justifyLastLine="0" shrinkToFit="0" readingOrder="0"/>
    </dxf>
    <dxf>
      <font>
        <b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/>
      </font>
      <alignment horizontal="center" vertical="bottom" textRotation="0" wrapText="0" indent="0" justifyLastLine="0" shrinkToFit="0" readingOrder="0"/>
    </dxf>
    <dxf>
      <font>
        <b/>
      </font>
      <alignment horizontal="center" vertical="bottom" textRotation="0" wrapText="0" indent="0" justifyLastLine="0" shrinkToFit="0" readingOrder="0"/>
    </dxf>
    <dxf>
      <font>
        <b/>
      </font>
      <alignment horizontal="center" vertical="bottom" textRotation="0" wrapText="0" indent="0" justifyLastLine="0" shrinkToFit="0" readingOrder="0"/>
    </dxf>
    <dxf>
      <font>
        <b/>
      </font>
      <numFmt numFmtId="19" formatCode="dd/mm/yyyy"/>
      <alignment horizontal="center" vertical="bottom" textRotation="0" wrapText="0" indent="0" justifyLastLine="0" shrinkToFit="0" readingOrder="0"/>
    </dxf>
    <dxf>
      <font>
        <b/>
      </font>
      <numFmt numFmtId="164" formatCode="&quot;R$&quot;\ #,##0.00"/>
      <alignment horizontal="center" vertical="bottom" textRotation="0" wrapText="0" indent="0" justifyLastLine="0" shrinkToFit="0" readingOrder="0"/>
    </dxf>
    <dxf>
      <font>
        <b/>
      </font>
      <alignment horizontal="center" vertical="bottom" textRotation="0" wrapText="0" indent="0" justifyLastLine="0" shrinkToFit="0" readingOrder="0"/>
    </dxf>
    <dxf>
      <font>
        <b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/>
      </font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/>
      </font>
      <numFmt numFmtId="19" formatCode="dd/mm/yyyy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/>
      </font>
      <numFmt numFmtId="19" formatCode="dd/mm/yyyy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/>
      </font>
      <numFmt numFmtId="164" formatCode="&quot;R$&quot;\ #,##0.0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font>
        <b/>
      </font>
      <alignment horizontal="center" vertical="bottom" textRotation="0" wrapText="0" indent="0" justifyLastLine="0" shrinkToFit="0" readingOrder="0"/>
    </dxf>
    <dxf>
      <font>
        <b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R$&quot;\ #,##0.00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-&quot;R$&quot;\ * #,##0.00_-;\-&quot;R$&quot;\ * #,##0.00_-;_-&quot;R$&quot;\ * &quot;-&quot;??_-;_-@_-"/>
    </dxf>
    <dxf>
      <font>
        <b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4" formatCode="&quot;R$&quot;\ #,##0.00"/>
      <fill>
        <patternFill patternType="solid">
          <fgColor indexed="64"/>
          <bgColor theme="4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R$&quot;\ #,##0.0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4" formatCode="&quot;R$&quot;\ #,##0.00"/>
      <fill>
        <patternFill patternType="solid">
          <fgColor indexed="64"/>
          <bgColor theme="4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R$&quot;\ #,##0.0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4" formatCode="&quot;R$&quot;\ #,##0.00"/>
      <fill>
        <patternFill patternType="solid">
          <fgColor indexed="64"/>
          <bgColor theme="4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R$&quot;\ #,##0.0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4" formatCode="&quot;R$&quot;\ #,##0.00"/>
      <fill>
        <patternFill patternType="solid">
          <fgColor indexed="64"/>
          <bgColor theme="4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R$&quot;\ #,##0.0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4" formatCode="&quot;R$&quot;\ #,##0.00"/>
      <fill>
        <patternFill patternType="solid">
          <fgColor indexed="64"/>
          <bgColor theme="4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R$&quot;\ #,##0.0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4" formatCode="&quot;R$&quot;\ #,##0.00"/>
      <fill>
        <patternFill patternType="solid">
          <fgColor indexed="64"/>
          <bgColor theme="4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4" formatCode="&quot;R$&quot;\ #,##0.00"/>
      <fill>
        <patternFill patternType="solid">
          <fgColor indexed="64"/>
          <bgColor theme="4"/>
        </patternFill>
      </fill>
      <alignment horizontal="center" vertical="bottom" textRotation="0" wrapText="0" indent="0" justifyLastLine="0" shrinkToFit="0" readingOrder="0"/>
    </dxf>
    <dxf>
      <border outline="0">
        <top style="thin">
          <color indexed="64"/>
        </top>
      </border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colors>
    <mruColors>
      <color rgb="FF9B1D2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200" b="1"/>
              <a:t>Valores</a:t>
            </a:r>
            <a:r>
              <a:rPr lang="pt-BR" sz="1200" b="1" baseline="0"/>
              <a:t> Totais</a:t>
            </a:r>
            <a:endParaRPr lang="pt-BR" sz="12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Resumo!$B$8</c:f>
              <c:strCache>
                <c:ptCount val="1"/>
                <c:pt idx="0">
                  <c:v>Total 12 Meses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dLbl>
              <c:idx val="3"/>
              <c:layout>
                <c:manualLayout>
                  <c:x val="-6.1217593840065098E-3"/>
                  <c:y val="-5.2408243320037082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EB98-432D-BA9B-E1BA75C77937}"/>
                </c:ext>
              </c:extLst>
            </c:dLbl>
            <c:spPr>
              <a:solidFill>
                <a:schemeClr val="bg1">
                  <a:lumMod val="75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Resumo!$A$9:$A$13</c:f>
              <c:strCache>
                <c:ptCount val="5"/>
                <c:pt idx="0">
                  <c:v>Obrigatórias</c:v>
                </c:pt>
                <c:pt idx="1">
                  <c:v>Não Recorrentes</c:v>
                </c:pt>
                <c:pt idx="2">
                  <c:v>Lazer</c:v>
                </c:pt>
                <c:pt idx="3">
                  <c:v>Mercado</c:v>
                </c:pt>
                <c:pt idx="4">
                  <c:v>Cuidados Pessoais</c:v>
                </c:pt>
              </c:strCache>
            </c:strRef>
          </c:cat>
          <c:val>
            <c:numRef>
              <c:f>Resumo!$B$9:$B$13</c:f>
              <c:numCache>
                <c:formatCode>_("R$"* #,##0.00_);_("R$"* \(#,##0.00\);_("R$"* "-"??_);_(@_)</c:formatCode>
                <c:ptCount val="5"/>
                <c:pt idx="0">
                  <c:v>12067.64</c:v>
                </c:pt>
                <c:pt idx="1">
                  <c:v>113.62</c:v>
                </c:pt>
                <c:pt idx="2">
                  <c:v>5</c:v>
                </c:pt>
                <c:pt idx="3">
                  <c:v>861.62</c:v>
                </c:pt>
                <c:pt idx="4">
                  <c:v>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B98-432D-BA9B-E1BA75C77937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75"/>
        <c:axId val="694694656"/>
        <c:axId val="694693344"/>
      </c:barChart>
      <c:catAx>
        <c:axId val="69469465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94693344"/>
        <c:crosses val="autoZero"/>
        <c:auto val="1"/>
        <c:lblAlgn val="ctr"/>
        <c:lblOffset val="100"/>
        <c:noMultiLvlLbl val="0"/>
      </c:catAx>
      <c:valAx>
        <c:axId val="694693344"/>
        <c:scaling>
          <c:orientation val="minMax"/>
        </c:scaling>
        <c:delete val="1"/>
        <c:axPos val="b"/>
        <c:numFmt formatCode="_(&quot;R$&quot;* #,##0.00_);_(&quot;R$&quot;* \(#,##0.00\);_(&quot;R$&quot;* &quot;-&quot;??_);_(@_)" sourceLinked="1"/>
        <c:majorTickMark val="none"/>
        <c:minorTickMark val="none"/>
        <c:tickLblPos val="nextTo"/>
        <c:crossAx val="694694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200"/>
              <a:t>Percentual</a:t>
            </a:r>
            <a:r>
              <a:rPr lang="pt-BR" sz="1200" baseline="0"/>
              <a:t> Total das Despesas</a:t>
            </a:r>
            <a:endParaRPr lang="pt-BR" sz="1200"/>
          </a:p>
        </c:rich>
      </c:tx>
      <c:layout>
        <c:manualLayout>
          <c:xMode val="edge"/>
          <c:yMode val="edge"/>
          <c:x val="0.28981098874283129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7.9056733292953763E-2"/>
          <c:y val="0.20606060606060606"/>
          <c:w val="0.41025641025641024"/>
          <c:h val="0.72727272727272729"/>
        </c:manualLayout>
      </c:layout>
      <c:pieChart>
        <c:varyColors val="1"/>
        <c:ser>
          <c:idx val="0"/>
          <c:order val="0"/>
          <c:tx>
            <c:strRef>
              <c:f>Resumo!$B$8</c:f>
              <c:strCache>
                <c:ptCount val="1"/>
                <c:pt idx="0">
                  <c:v>Total 12 Meses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DD2D-4B40-BF73-B04A5C626CE2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9912-43F5-9560-11228C53382B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9912-43F5-9560-11228C53382B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4-9912-43F5-9560-11228C53382B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solidFill>
                  <a:schemeClr val="accent6">
                    <a:lumMod val="75000"/>
                  </a:schemeClr>
                </a:solidFill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2-9912-43F5-9560-11228C53382B}"/>
              </c:ext>
            </c:extLst>
          </c:dPt>
          <c:dLbls>
            <c:dLbl>
              <c:idx val="0"/>
              <c:layout>
                <c:manualLayout>
                  <c:x val="-0.10128566784577016"/>
                  <c:y val="-0.24346989810446773"/>
                </c:manualLayout>
              </c:layout>
              <c:dLblPos val="bestFit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DD2D-4B40-BF73-B04A5C626CE2}"/>
                </c:ext>
              </c:extLst>
            </c:dLbl>
            <c:dLbl>
              <c:idx val="1"/>
              <c:layout>
                <c:manualLayout>
                  <c:x val="3.3353042114262446E-2"/>
                  <c:y val="7.5856016845180965E-2"/>
                </c:manualLayout>
              </c:layout>
              <c:dLblPos val="bestFit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9912-43F5-9560-11228C53382B}"/>
                </c:ext>
              </c:extLst>
            </c:dLbl>
            <c:dLbl>
              <c:idx val="2"/>
              <c:layout>
                <c:manualLayout>
                  <c:x val="3.2046855059137867E-2"/>
                  <c:y val="-9.7135967884993055E-3"/>
                </c:manualLayout>
              </c:layout>
              <c:dLblPos val="bestFit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9912-43F5-9560-11228C53382B}"/>
                </c:ext>
              </c:extLst>
            </c:dLbl>
            <c:dLbl>
              <c:idx val="3"/>
              <c:layout>
                <c:manualLayout>
                  <c:x val="4.8653371867807667E-2"/>
                  <c:y val="2.9218414162175722E-2"/>
                </c:manualLayout>
              </c:layout>
              <c:dLblPos val="bestFit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9912-43F5-9560-11228C53382B}"/>
                </c:ext>
              </c:extLst>
            </c:dLbl>
            <c:dLbl>
              <c:idx val="4"/>
              <c:layout>
                <c:manualLayout>
                  <c:x val="5.387468874083047E-2"/>
                  <c:y val="3.5495907839106292E-2"/>
                </c:manualLayout>
              </c:layout>
              <c:dLblPos val="bestFit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912-43F5-9560-11228C53382B}"/>
                </c:ext>
              </c:extLst>
            </c:dLbl>
            <c:spPr>
              <a:pattFill prst="pct75">
                <a:fgClr>
                  <a:schemeClr val="dk1">
                    <a:lumMod val="75000"/>
                    <a:lumOff val="25000"/>
                  </a:schemeClr>
                </a:fgClr>
                <a:bgClr>
                  <a:schemeClr val="dk1">
                    <a:lumMod val="65000"/>
                    <a:lumOff val="35000"/>
                  </a:scheme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Resumo!$A$9:$A$13</c:f>
              <c:strCache>
                <c:ptCount val="5"/>
                <c:pt idx="0">
                  <c:v>Obrigatórias</c:v>
                </c:pt>
                <c:pt idx="1">
                  <c:v>Não Recorrentes</c:v>
                </c:pt>
                <c:pt idx="2">
                  <c:v>Lazer</c:v>
                </c:pt>
                <c:pt idx="3">
                  <c:v>Mercado</c:v>
                </c:pt>
                <c:pt idx="4">
                  <c:v>Cuidados Pessoais</c:v>
                </c:pt>
              </c:strCache>
            </c:strRef>
          </c:cat>
          <c:val>
            <c:numRef>
              <c:f>Resumo!$B$9:$B$13</c:f>
              <c:numCache>
                <c:formatCode>_("R$"* #,##0.00_);_("R$"* \(#,##0.00\);_("R$"* "-"??_);_(@_)</c:formatCode>
                <c:ptCount val="5"/>
                <c:pt idx="0">
                  <c:v>12067.64</c:v>
                </c:pt>
                <c:pt idx="1">
                  <c:v>113.62</c:v>
                </c:pt>
                <c:pt idx="2">
                  <c:v>5</c:v>
                </c:pt>
                <c:pt idx="3">
                  <c:v>861.62</c:v>
                </c:pt>
                <c:pt idx="4">
                  <c:v>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912-43F5-9560-11228C53382B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58497304925694305"/>
          <c:y val="0.27921117061303141"/>
          <c:w val="0.29889513447386334"/>
          <c:h val="0.50456424943768885"/>
        </c:manualLayout>
      </c:layout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     Renda Gráfico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2.9675810520446284E-2"/>
          <c:y val="0.16530127861572624"/>
          <c:w val="0.97032418947955368"/>
          <c:h val="0.60127251657476843"/>
        </c:manualLayout>
      </c:layout>
      <c:lineChart>
        <c:grouping val="standard"/>
        <c:varyColors val="0"/>
        <c:ser>
          <c:idx val="0"/>
          <c:order val="0"/>
          <c:tx>
            <c:strRef>
              <c:f>Resumo!$B$38</c:f>
              <c:strCache>
                <c:ptCount val="1"/>
                <c:pt idx="0">
                  <c:v>     Total Despesas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solidFill>
                <a:schemeClr val="bg2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Resumo!$A$39:$A$50</c:f>
              <c:strCache>
                <c:ptCount val="12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  <c:pt idx="5">
                  <c:v>Junho</c:v>
                </c:pt>
                <c:pt idx="6">
                  <c:v>Julho</c:v>
                </c:pt>
                <c:pt idx="7">
                  <c:v>Agosto</c:v>
                </c:pt>
                <c:pt idx="8">
                  <c:v>Setembro</c:v>
                </c:pt>
                <c:pt idx="9">
                  <c:v>Outubro</c:v>
                </c:pt>
                <c:pt idx="10">
                  <c:v>Novembro</c:v>
                </c:pt>
                <c:pt idx="11">
                  <c:v>Dezembro</c:v>
                </c:pt>
              </c:strCache>
            </c:strRef>
          </c:cat>
          <c:val>
            <c:numRef>
              <c:f>Resumo!$B$39:$B$50</c:f>
              <c:numCache>
                <c:formatCode>_("R$"* #,##0.00_);_("R$"* \(#,##0.00\);_("R$"* "-"??_);_(@_)</c:formatCode>
                <c:ptCount val="12"/>
                <c:pt idx="0">
                  <c:v>1800</c:v>
                </c:pt>
                <c:pt idx="1">
                  <c:v>2500</c:v>
                </c:pt>
                <c:pt idx="2">
                  <c:v>1820</c:v>
                </c:pt>
                <c:pt idx="3">
                  <c:v>1900</c:v>
                </c:pt>
                <c:pt idx="4">
                  <c:v>1800</c:v>
                </c:pt>
                <c:pt idx="5">
                  <c:v>1800</c:v>
                </c:pt>
                <c:pt idx="6">
                  <c:v>1800</c:v>
                </c:pt>
                <c:pt idx="7">
                  <c:v>2300</c:v>
                </c:pt>
                <c:pt idx="8">
                  <c:v>1800</c:v>
                </c:pt>
                <c:pt idx="9">
                  <c:v>1950</c:v>
                </c:pt>
                <c:pt idx="10">
                  <c:v>1800</c:v>
                </c:pt>
                <c:pt idx="11">
                  <c:v>1800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79B-4B20-BD87-972F8678EA5D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563228640"/>
        <c:axId val="563227984"/>
      </c:lineChart>
      <c:catAx>
        <c:axId val="5632286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25400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63227984"/>
        <c:crosses val="autoZero"/>
        <c:auto val="1"/>
        <c:lblAlgn val="ctr"/>
        <c:lblOffset val="100"/>
        <c:noMultiLvlLbl val="0"/>
      </c:catAx>
      <c:valAx>
        <c:axId val="563227984"/>
        <c:scaling>
          <c:orientation val="minMax"/>
        </c:scaling>
        <c:delete val="1"/>
        <c:axPos val="l"/>
        <c:numFmt formatCode="_(&quot;R$&quot;* #,##0.00_);_(&quot;R$&quot;* \(#,##0.00\);_(&quot;R$&quot;* &quot;-&quot;??_);_(@_)" sourceLinked="1"/>
        <c:majorTickMark val="none"/>
        <c:minorTickMark val="none"/>
        <c:tickLblPos val="nextTo"/>
        <c:crossAx val="5632286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800" b="1"/>
              <a:t>Despesas</a:t>
            </a:r>
            <a:r>
              <a:rPr lang="pt-BR" sz="1800" b="1" baseline="0"/>
              <a:t>  Obrigatórias</a:t>
            </a:r>
            <a:endParaRPr lang="pt-BR" sz="18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Jan!$E$26:$E$26</c:f>
              <c:strCache>
                <c:ptCount val="1"/>
                <c:pt idx="0">
                  <c:v>Condominio</c:v>
                </c:pt>
              </c:strCache>
            </c:strRef>
          </c:cat>
          <c:val>
            <c:numRef>
              <c:f>Jan!$F$26:$F$26</c:f>
              <c:numCache>
                <c:formatCode>"R$"\ #,##0.00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CF4-4795-BA93-2308DDCC03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223727064"/>
        <c:axId val="223726736"/>
        <c:axId val="0"/>
      </c:bar3DChart>
      <c:catAx>
        <c:axId val="22372706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23726736"/>
        <c:crosses val="autoZero"/>
        <c:auto val="1"/>
        <c:lblAlgn val="ctr"/>
        <c:lblOffset val="100"/>
        <c:noMultiLvlLbl val="0"/>
      </c:catAx>
      <c:valAx>
        <c:axId val="223726736"/>
        <c:scaling>
          <c:orientation val="minMax"/>
        </c:scaling>
        <c:delete val="1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&quot;R$&quot;\ #,##0.00" sourceLinked="1"/>
        <c:majorTickMark val="none"/>
        <c:minorTickMark val="none"/>
        <c:tickLblPos val="nextTo"/>
        <c:crossAx val="2237270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/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800" b="1"/>
              <a:t>Receitas</a:t>
            </a:r>
            <a:r>
              <a:rPr lang="pt-BR" sz="1800" b="1" baseline="0"/>
              <a:t> e Despesas</a:t>
            </a:r>
            <a:endParaRPr lang="pt-BR" sz="18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0.21327016887120195"/>
          <c:y val="0.19432888597258677"/>
          <c:w val="0.75466727671615741"/>
          <c:h val="0.75474518810148727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0.21792977924052251"/>
                  <c:y val="1.3174759286168876E-4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BD0F-42DE-82C3-A71F7C1159BA}"/>
                </c:ext>
              </c:extLst>
            </c:dLbl>
            <c:dLbl>
              <c:idx val="1"/>
              <c:layout>
                <c:manualLayout>
                  <c:x val="-0.11367398680826014"/>
                  <c:y val="-9.2591641606882304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BD0F-42DE-82C3-A71F7C1159BA}"/>
                </c:ext>
              </c:extLst>
            </c:dLbl>
            <c:spPr>
              <a:solidFill>
                <a:schemeClr val="bg1">
                  <a:lumMod val="65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Jan!$A$12:$A$13</c:f>
              <c:strCache>
                <c:ptCount val="2"/>
                <c:pt idx="0">
                  <c:v> Total Receita </c:v>
                </c:pt>
                <c:pt idx="1">
                  <c:v> Total Despesas </c:v>
                </c:pt>
              </c:strCache>
            </c:strRef>
          </c:cat>
          <c:val>
            <c:numRef>
              <c:f>Jan!$B$12:$B$13</c:f>
              <c:numCache>
                <c:formatCode>"R$"\ #,##0.00</c:formatCode>
                <c:ptCount val="2"/>
                <c:pt idx="0" formatCode="_(&quot;R$&quot;* #,##0.00_);_(&quot;R$&quot;* \(#,##0.00\);_(&quot;R$&quot;* &quot;-&quot;??_);_(@_)">
                  <c:v>1800</c:v>
                </c:pt>
                <c:pt idx="1">
                  <c:v>225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D0F-42DE-82C3-A71F7C1159BA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-25"/>
        <c:axId val="444821376"/>
        <c:axId val="443932000"/>
      </c:barChart>
      <c:catAx>
        <c:axId val="44482137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43932000"/>
        <c:crosses val="autoZero"/>
        <c:auto val="1"/>
        <c:lblAlgn val="ctr"/>
        <c:lblOffset val="100"/>
        <c:noMultiLvlLbl val="0"/>
      </c:catAx>
      <c:valAx>
        <c:axId val="443932000"/>
        <c:scaling>
          <c:orientation val="minMax"/>
        </c:scaling>
        <c:delete val="1"/>
        <c:axPos val="b"/>
        <c:numFmt formatCode="_(&quot;R$&quot;* #,##0.00_);_(&quot;R$&quot;* \(#,##0.00\);_(&quot;R$&quot;* &quot;-&quot;??_);_(@_)" sourceLinked="1"/>
        <c:majorTickMark val="none"/>
        <c:minorTickMark val="none"/>
        <c:tickLblPos val="nextTo"/>
        <c:crossAx val="444821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/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800" b="1"/>
              <a:t>Despesas</a:t>
            </a:r>
            <a:r>
              <a:rPr lang="pt-BR" sz="1800" b="1" baseline="0"/>
              <a:t>  Obrigatórias</a:t>
            </a:r>
            <a:endParaRPr lang="pt-BR" sz="18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Fev!$E$26:$E$26</c:f>
              <c:strCache>
                <c:ptCount val="1"/>
                <c:pt idx="0">
                  <c:v>Carro</c:v>
                </c:pt>
              </c:strCache>
            </c:strRef>
          </c:cat>
          <c:val>
            <c:numRef>
              <c:f>Fev!$F$26:$F$26</c:f>
              <c:numCache>
                <c:formatCode>"R$"\ #,##0.00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952-4D84-8D70-E115EBDE4A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223727064"/>
        <c:axId val="223726736"/>
        <c:axId val="0"/>
      </c:bar3DChart>
      <c:catAx>
        <c:axId val="22372706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23726736"/>
        <c:crosses val="autoZero"/>
        <c:auto val="1"/>
        <c:lblAlgn val="ctr"/>
        <c:lblOffset val="100"/>
        <c:noMultiLvlLbl val="0"/>
      </c:catAx>
      <c:valAx>
        <c:axId val="223726736"/>
        <c:scaling>
          <c:orientation val="minMax"/>
        </c:scaling>
        <c:delete val="1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&quot;R$&quot;\ #,##0.00" sourceLinked="1"/>
        <c:majorTickMark val="none"/>
        <c:minorTickMark val="none"/>
        <c:tickLblPos val="nextTo"/>
        <c:crossAx val="2237270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/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800" b="1"/>
              <a:t>Receitas</a:t>
            </a:r>
            <a:r>
              <a:rPr lang="pt-BR" sz="1800" b="1" baseline="0"/>
              <a:t> e Despesas</a:t>
            </a:r>
            <a:endParaRPr lang="pt-BR" sz="18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0.21327016887120195"/>
          <c:y val="0.19432888597258677"/>
          <c:w val="0.75466727671615741"/>
          <c:h val="0.75474518810148727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0.21792977924052251"/>
                  <c:y val="1.3174759286168876E-4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D1CD-4F09-95F3-ADC6BACA8368}"/>
                </c:ext>
              </c:extLst>
            </c:dLbl>
            <c:dLbl>
              <c:idx val="1"/>
              <c:layout>
                <c:manualLayout>
                  <c:x val="-0.11367398680826014"/>
                  <c:y val="-9.2591641606882304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D1CD-4F09-95F3-ADC6BACA8368}"/>
                </c:ext>
              </c:extLst>
            </c:dLbl>
            <c:spPr>
              <a:solidFill>
                <a:schemeClr val="bg1">
                  <a:lumMod val="65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Fev!$A$12:$A$13</c:f>
              <c:strCache>
                <c:ptCount val="2"/>
                <c:pt idx="0">
                  <c:v> Total Receita </c:v>
                </c:pt>
                <c:pt idx="1">
                  <c:v> Total Despesas </c:v>
                </c:pt>
              </c:strCache>
            </c:strRef>
          </c:cat>
          <c:val>
            <c:numRef>
              <c:f>Fev!$B$12:$B$13</c:f>
              <c:numCache>
                <c:formatCode>"R$"\ #,##0.00</c:formatCode>
                <c:ptCount val="2"/>
                <c:pt idx="0" formatCode="_(&quot;R$&quot;* #,##0.00_);_(&quot;R$&quot;* \(#,##0.00\);_(&quot;R$&quot;* &quot;-&quot;??_);_(@_)">
                  <c:v>2500</c:v>
                </c:pt>
                <c:pt idx="1">
                  <c:v>984.62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1CD-4F09-95F3-ADC6BACA8368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-25"/>
        <c:axId val="444821376"/>
        <c:axId val="443932000"/>
      </c:barChart>
      <c:catAx>
        <c:axId val="44482137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43932000"/>
        <c:crosses val="autoZero"/>
        <c:auto val="1"/>
        <c:lblAlgn val="ctr"/>
        <c:lblOffset val="100"/>
        <c:noMultiLvlLbl val="0"/>
      </c:catAx>
      <c:valAx>
        <c:axId val="443932000"/>
        <c:scaling>
          <c:orientation val="minMax"/>
        </c:scaling>
        <c:delete val="1"/>
        <c:axPos val="b"/>
        <c:numFmt formatCode="_(&quot;R$&quot;* #,##0.00_);_(&quot;R$&quot;* \(#,##0.00\);_(&quot;R$&quot;* &quot;-&quot;??_);_(@_)" sourceLinked="1"/>
        <c:majorTickMark val="none"/>
        <c:minorTickMark val="none"/>
        <c:tickLblPos val="nextTo"/>
        <c:crossAx val="444821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/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800" b="1"/>
              <a:t>Despesas</a:t>
            </a:r>
            <a:r>
              <a:rPr lang="pt-BR" sz="1800" b="1" baseline="0"/>
              <a:t>  Obrigatórias</a:t>
            </a:r>
            <a:endParaRPr lang="pt-BR" sz="18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Mar!$E$26:$E$26</c:f>
              <c:strCache>
                <c:ptCount val="1"/>
                <c:pt idx="0">
                  <c:v>Aluguel</c:v>
                </c:pt>
              </c:strCache>
            </c:strRef>
          </c:cat>
          <c:val>
            <c:numRef>
              <c:f>Mar!$F$26:$F$26</c:f>
              <c:numCache>
                <c:formatCode>"R$"\ #,##0.00</c:formatCode>
                <c:ptCount val="1"/>
                <c:pt idx="0">
                  <c:v>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A20-473E-8CEB-4B93694927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223727064"/>
        <c:axId val="223726736"/>
        <c:axId val="0"/>
      </c:bar3DChart>
      <c:catAx>
        <c:axId val="22372706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23726736"/>
        <c:crosses val="autoZero"/>
        <c:auto val="1"/>
        <c:lblAlgn val="ctr"/>
        <c:lblOffset val="100"/>
        <c:noMultiLvlLbl val="0"/>
      </c:catAx>
      <c:valAx>
        <c:axId val="223726736"/>
        <c:scaling>
          <c:orientation val="minMax"/>
        </c:scaling>
        <c:delete val="1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&quot;R$&quot;\ #,##0.00" sourceLinked="1"/>
        <c:majorTickMark val="none"/>
        <c:minorTickMark val="none"/>
        <c:tickLblPos val="nextTo"/>
        <c:crossAx val="2237270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/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800" b="1"/>
              <a:t>Receitas</a:t>
            </a:r>
            <a:r>
              <a:rPr lang="pt-BR" sz="1800" b="1" baseline="0"/>
              <a:t> e Despesas</a:t>
            </a:r>
            <a:endParaRPr lang="pt-BR" sz="18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0.21327016887120195"/>
          <c:y val="0.19432888597258677"/>
          <c:w val="0.75466727671615741"/>
          <c:h val="0.75474518810148727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0.21792977924052251"/>
                  <c:y val="1.3174759286168876E-4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31C-4266-A3DE-92AE62227B24}"/>
                </c:ext>
              </c:extLst>
            </c:dLbl>
            <c:dLbl>
              <c:idx val="1"/>
              <c:layout>
                <c:manualLayout>
                  <c:x val="-0.11367398680826014"/>
                  <c:y val="-9.2591641606882304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C31C-4266-A3DE-92AE62227B24}"/>
                </c:ext>
              </c:extLst>
            </c:dLbl>
            <c:spPr>
              <a:solidFill>
                <a:schemeClr val="bg1">
                  <a:lumMod val="65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Mar!$A$12:$A$13</c:f>
              <c:strCache>
                <c:ptCount val="2"/>
                <c:pt idx="0">
                  <c:v> Total Receita </c:v>
                </c:pt>
                <c:pt idx="1">
                  <c:v> Total Despesas </c:v>
                </c:pt>
              </c:strCache>
            </c:strRef>
          </c:cat>
          <c:val>
            <c:numRef>
              <c:f>Mar!$B$12:$B$13</c:f>
              <c:numCache>
                <c:formatCode>"R$"\ #,##0.00</c:formatCode>
                <c:ptCount val="2"/>
                <c:pt idx="0" formatCode="_(&quot;R$&quot;* #,##0.00_);_(&quot;R$&quot;* \(#,##0.00\);_(&quot;R$&quot;* &quot;-&quot;??_);_(@_)">
                  <c:v>1820</c:v>
                </c:pt>
                <c:pt idx="1">
                  <c:v>778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31C-4266-A3DE-92AE62227B24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-25"/>
        <c:axId val="444821376"/>
        <c:axId val="443932000"/>
      </c:barChart>
      <c:catAx>
        <c:axId val="44482137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43932000"/>
        <c:crosses val="autoZero"/>
        <c:auto val="1"/>
        <c:lblAlgn val="ctr"/>
        <c:lblOffset val="100"/>
        <c:noMultiLvlLbl val="0"/>
      </c:catAx>
      <c:valAx>
        <c:axId val="443932000"/>
        <c:scaling>
          <c:orientation val="minMax"/>
        </c:scaling>
        <c:delete val="1"/>
        <c:axPos val="b"/>
        <c:numFmt formatCode="_(&quot;R$&quot;* #,##0.00_);_(&quot;R$&quot;* \(#,##0.00\);_(&quot;R$&quot;* &quot;-&quot;??_);_(@_)" sourceLinked="1"/>
        <c:majorTickMark val="none"/>
        <c:minorTickMark val="none"/>
        <c:tickLblPos val="nextTo"/>
        <c:crossAx val="444821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/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800" b="1"/>
              <a:t>Despesas</a:t>
            </a:r>
            <a:r>
              <a:rPr lang="pt-BR" sz="1800" b="1" baseline="0"/>
              <a:t>  Obrigatórias</a:t>
            </a:r>
            <a:endParaRPr lang="pt-BR" sz="18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Abr!$E$26:$E$31</c:f>
              <c:strCache>
                <c:ptCount val="6"/>
                <c:pt idx="0">
                  <c:v>Condominio</c:v>
                </c:pt>
                <c:pt idx="1">
                  <c:v>Nubank</c:v>
                </c:pt>
                <c:pt idx="2">
                  <c:v>Internet</c:v>
                </c:pt>
                <c:pt idx="3">
                  <c:v>Gás</c:v>
                </c:pt>
                <c:pt idx="4">
                  <c:v>Next</c:v>
                </c:pt>
                <c:pt idx="5">
                  <c:v>Luz</c:v>
                </c:pt>
              </c:strCache>
            </c:strRef>
          </c:cat>
          <c:val>
            <c:numRef>
              <c:f>Abr!$F$26:$F$31</c:f>
              <c:numCache>
                <c:formatCode>"R$"\ #,##0.00</c:formatCode>
                <c:ptCount val="6"/>
                <c:pt idx="0">
                  <c:v>511.81</c:v>
                </c:pt>
                <c:pt idx="1">
                  <c:v>354.39</c:v>
                </c:pt>
                <c:pt idx="2">
                  <c:v>154.63999999999999</c:v>
                </c:pt>
                <c:pt idx="3">
                  <c:v>91.9</c:v>
                </c:pt>
                <c:pt idx="4">
                  <c:v>20</c:v>
                </c:pt>
                <c:pt idx="5">
                  <c:v>219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1D-4450-BE43-98AFF54421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223727064"/>
        <c:axId val="223726736"/>
        <c:axId val="0"/>
      </c:bar3DChart>
      <c:catAx>
        <c:axId val="22372706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23726736"/>
        <c:crosses val="autoZero"/>
        <c:auto val="1"/>
        <c:lblAlgn val="ctr"/>
        <c:lblOffset val="100"/>
        <c:noMultiLvlLbl val="0"/>
      </c:catAx>
      <c:valAx>
        <c:axId val="223726736"/>
        <c:scaling>
          <c:orientation val="minMax"/>
        </c:scaling>
        <c:delete val="1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&quot;R$&quot;\ #,##0.00" sourceLinked="1"/>
        <c:majorTickMark val="none"/>
        <c:minorTickMark val="none"/>
        <c:tickLblPos val="nextTo"/>
        <c:crossAx val="2237270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/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800" b="1"/>
              <a:t>Receitas</a:t>
            </a:r>
            <a:r>
              <a:rPr lang="pt-BR" sz="1800" b="1" baseline="0"/>
              <a:t> e Despesas</a:t>
            </a:r>
            <a:endParaRPr lang="pt-BR" sz="18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0.21327016887120195"/>
          <c:y val="0.19432888597258677"/>
          <c:w val="0.75466727671615741"/>
          <c:h val="0.75474518810148727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0.21792977924052251"/>
                  <c:y val="1.3174759286168876E-4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F1E-4795-B097-F62837C12E3F}"/>
                </c:ext>
              </c:extLst>
            </c:dLbl>
            <c:dLbl>
              <c:idx val="1"/>
              <c:layout>
                <c:manualLayout>
                  <c:x val="3.4822793630905381E-2"/>
                  <c:y val="-1.375699864817053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CF1E-4795-B097-F62837C12E3F}"/>
                </c:ext>
              </c:extLst>
            </c:dLbl>
            <c:spPr>
              <a:solidFill>
                <a:schemeClr val="bg1">
                  <a:lumMod val="65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Abr!$A$12:$A$13</c:f>
              <c:strCache>
                <c:ptCount val="2"/>
                <c:pt idx="0">
                  <c:v> Total Receita </c:v>
                </c:pt>
                <c:pt idx="1">
                  <c:v> Total Despesas </c:v>
                </c:pt>
              </c:strCache>
            </c:strRef>
          </c:cat>
          <c:val>
            <c:numRef>
              <c:f>Abr!$B$12:$B$13</c:f>
              <c:numCache>
                <c:formatCode>_("R$"* #,##0.00_);_("R$"* \(#,##0.00\);_("R$"* "-"??_);_(@_)</c:formatCode>
                <c:ptCount val="2"/>
                <c:pt idx="0">
                  <c:v>1900</c:v>
                </c:pt>
                <c:pt idx="1">
                  <c:v>2233.36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F1E-4795-B097-F62837C12E3F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-25"/>
        <c:axId val="444821376"/>
        <c:axId val="443932000"/>
      </c:barChart>
      <c:catAx>
        <c:axId val="44482137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43932000"/>
        <c:crosses val="autoZero"/>
        <c:auto val="1"/>
        <c:lblAlgn val="ctr"/>
        <c:lblOffset val="100"/>
        <c:noMultiLvlLbl val="0"/>
      </c:catAx>
      <c:valAx>
        <c:axId val="443932000"/>
        <c:scaling>
          <c:orientation val="minMax"/>
        </c:scaling>
        <c:delete val="1"/>
        <c:axPos val="b"/>
        <c:numFmt formatCode="_(&quot;R$&quot;* #,##0.00_);_(&quot;R$&quot;* \(#,##0.00\);_(&quot;R$&quot;* &quot;-&quot;??_);_(@_)" sourceLinked="1"/>
        <c:majorTickMark val="none"/>
        <c:minorTickMark val="none"/>
        <c:tickLblPos val="nextTo"/>
        <c:crossAx val="444821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/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800" b="1"/>
              <a:t>Despesas</a:t>
            </a:r>
            <a:r>
              <a:rPr lang="pt-BR" sz="1800" b="1" baseline="0"/>
              <a:t>  Obrigatórias</a:t>
            </a:r>
            <a:endParaRPr lang="pt-BR" sz="18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Maio!$E$26:$E$31</c:f>
              <c:strCache>
                <c:ptCount val="6"/>
                <c:pt idx="0">
                  <c:v>Condominio</c:v>
                </c:pt>
                <c:pt idx="1">
                  <c:v>Luz</c:v>
                </c:pt>
                <c:pt idx="2">
                  <c:v>Nubank</c:v>
                </c:pt>
                <c:pt idx="3">
                  <c:v>Internet</c:v>
                </c:pt>
                <c:pt idx="4">
                  <c:v>Gás</c:v>
                </c:pt>
                <c:pt idx="5">
                  <c:v>Next</c:v>
                </c:pt>
              </c:strCache>
            </c:strRef>
          </c:cat>
          <c:val>
            <c:numRef>
              <c:f>Maio!$F$26:$F$31</c:f>
              <c:numCache>
                <c:formatCode>"R$"\ #,##0.00</c:formatCode>
                <c:ptCount val="6"/>
                <c:pt idx="0">
                  <c:v>526.20000000000005</c:v>
                </c:pt>
                <c:pt idx="1">
                  <c:v>171</c:v>
                </c:pt>
                <c:pt idx="2">
                  <c:v>255</c:v>
                </c:pt>
                <c:pt idx="3">
                  <c:v>156</c:v>
                </c:pt>
                <c:pt idx="4">
                  <c:v>72</c:v>
                </c:pt>
                <c:pt idx="5">
                  <c:v>23.9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ACB-4EE7-9202-C0CB6B1EDB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223727064"/>
        <c:axId val="223726736"/>
        <c:axId val="0"/>
      </c:bar3DChart>
      <c:catAx>
        <c:axId val="22372706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23726736"/>
        <c:crosses val="autoZero"/>
        <c:auto val="1"/>
        <c:lblAlgn val="ctr"/>
        <c:lblOffset val="100"/>
        <c:noMultiLvlLbl val="0"/>
      </c:catAx>
      <c:valAx>
        <c:axId val="223726736"/>
        <c:scaling>
          <c:orientation val="minMax"/>
        </c:scaling>
        <c:delete val="1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&quot;R$&quot;\ #,##0.00" sourceLinked="1"/>
        <c:majorTickMark val="none"/>
        <c:minorTickMark val="none"/>
        <c:tickLblPos val="nextTo"/>
        <c:crossAx val="2237270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/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800" b="1"/>
              <a:t>Receitas</a:t>
            </a:r>
            <a:r>
              <a:rPr lang="pt-BR" sz="1800" b="1" baseline="0"/>
              <a:t> e Despesas</a:t>
            </a:r>
            <a:endParaRPr lang="pt-BR" sz="18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0.21327016887120195"/>
          <c:y val="0.19432888597258677"/>
          <c:w val="0.75466727671615741"/>
          <c:h val="0.75474518810148727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9.0274722130082738E-2"/>
                  <c:y val="1.3174759286168876E-4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68F-4EAB-9F0A-CF46C3BD815E}"/>
                </c:ext>
              </c:extLst>
            </c:dLbl>
            <c:dLbl>
              <c:idx val="1"/>
              <c:layout>
                <c:manualLayout>
                  <c:x val="1.6586346295980617E-2"/>
                  <c:y val="-9.2591641606881471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B68F-4EAB-9F0A-CF46C3BD815E}"/>
                </c:ext>
              </c:extLst>
            </c:dLbl>
            <c:spPr>
              <a:solidFill>
                <a:schemeClr val="bg1">
                  <a:lumMod val="65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Maio!$A$12:$A$13</c:f>
              <c:strCache>
                <c:ptCount val="2"/>
                <c:pt idx="0">
                  <c:v> Total Receita </c:v>
                </c:pt>
                <c:pt idx="1">
                  <c:v> Total Despesas </c:v>
                </c:pt>
              </c:strCache>
            </c:strRef>
          </c:cat>
          <c:val>
            <c:numRef>
              <c:f>Maio!$B$12:$B$13</c:f>
              <c:numCache>
                <c:formatCode>_("R$"* #,##0.00_);_("R$"* \(#,##0.00\);_("R$"* "-"??_);_(@_)</c:formatCode>
                <c:ptCount val="2"/>
                <c:pt idx="0">
                  <c:v>1800</c:v>
                </c:pt>
                <c:pt idx="1">
                  <c:v>1597.3500000000001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68F-4EAB-9F0A-CF46C3BD815E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-25"/>
        <c:axId val="444821376"/>
        <c:axId val="443932000"/>
      </c:barChart>
      <c:catAx>
        <c:axId val="44482137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43932000"/>
        <c:crosses val="autoZero"/>
        <c:auto val="1"/>
        <c:lblAlgn val="ctr"/>
        <c:lblOffset val="100"/>
        <c:noMultiLvlLbl val="0"/>
      </c:catAx>
      <c:valAx>
        <c:axId val="443932000"/>
        <c:scaling>
          <c:orientation val="minMax"/>
        </c:scaling>
        <c:delete val="1"/>
        <c:axPos val="b"/>
        <c:numFmt formatCode="_(&quot;R$&quot;* #,##0.00_);_(&quot;R$&quot;* \(#,##0.00\);_(&quot;R$&quot;* &quot;-&quot;??_);_(@_)" sourceLinked="1"/>
        <c:majorTickMark val="none"/>
        <c:minorTickMark val="none"/>
        <c:tickLblPos val="nextTo"/>
        <c:crossAx val="444821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/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800" b="1"/>
              <a:t>Despesas</a:t>
            </a:r>
            <a:r>
              <a:rPr lang="pt-BR" sz="1800" b="1" baseline="0"/>
              <a:t>  Obrigatórias</a:t>
            </a:r>
            <a:endParaRPr lang="pt-BR" sz="18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Jun!$E$26:$E$31</c:f>
              <c:strCache>
                <c:ptCount val="6"/>
                <c:pt idx="0">
                  <c:v>Condominio</c:v>
                </c:pt>
                <c:pt idx="1">
                  <c:v>Luz</c:v>
                </c:pt>
                <c:pt idx="2">
                  <c:v>Nubank</c:v>
                </c:pt>
                <c:pt idx="3">
                  <c:v>Internet</c:v>
                </c:pt>
                <c:pt idx="4">
                  <c:v>Gás</c:v>
                </c:pt>
                <c:pt idx="5">
                  <c:v>Next</c:v>
                </c:pt>
              </c:strCache>
            </c:strRef>
          </c:cat>
          <c:val>
            <c:numRef>
              <c:f>Jun!$F$26:$F$31</c:f>
              <c:numCache>
                <c:formatCode>"R$"\ #,##0.00</c:formatCode>
                <c:ptCount val="6"/>
                <c:pt idx="0">
                  <c:v>542</c:v>
                </c:pt>
                <c:pt idx="1">
                  <c:v>196</c:v>
                </c:pt>
                <c:pt idx="2">
                  <c:v>322.26</c:v>
                </c:pt>
                <c:pt idx="3">
                  <c:v>155.19</c:v>
                </c:pt>
                <c:pt idx="4">
                  <c:v>93</c:v>
                </c:pt>
                <c:pt idx="5">
                  <c:v>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085-4A9A-A686-D8906F45FE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223727064"/>
        <c:axId val="223726736"/>
        <c:axId val="0"/>
      </c:bar3DChart>
      <c:catAx>
        <c:axId val="22372706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23726736"/>
        <c:crosses val="autoZero"/>
        <c:auto val="1"/>
        <c:lblAlgn val="ctr"/>
        <c:lblOffset val="100"/>
        <c:noMultiLvlLbl val="0"/>
      </c:catAx>
      <c:valAx>
        <c:axId val="223726736"/>
        <c:scaling>
          <c:orientation val="minMax"/>
        </c:scaling>
        <c:delete val="1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&quot;R$&quot;\ #,##0.00" sourceLinked="1"/>
        <c:majorTickMark val="none"/>
        <c:minorTickMark val="none"/>
        <c:tickLblPos val="nextTo"/>
        <c:crossAx val="2237270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/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800" b="1"/>
              <a:t>Receitas</a:t>
            </a:r>
            <a:r>
              <a:rPr lang="pt-BR" sz="1800" b="1" baseline="0"/>
              <a:t> e Despesas</a:t>
            </a:r>
            <a:endParaRPr lang="pt-BR" sz="18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0.21327016887120195"/>
          <c:y val="0.19432888597258677"/>
          <c:w val="0.75466727671615741"/>
          <c:h val="0.75474518810148727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0.21792977924052251"/>
                  <c:y val="1.3174759286168876E-4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C81-4FD6-B0F3-115564F2C982}"/>
                </c:ext>
              </c:extLst>
            </c:dLbl>
            <c:dLbl>
              <c:idx val="1"/>
              <c:layout>
                <c:manualLayout>
                  <c:x val="2.4401966582376946E-2"/>
                  <c:y val="-4.7613296732057627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8C81-4FD6-B0F3-115564F2C982}"/>
                </c:ext>
              </c:extLst>
            </c:dLbl>
            <c:spPr>
              <a:solidFill>
                <a:schemeClr val="bg1">
                  <a:lumMod val="65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Jun!$A$12:$A$13</c:f>
              <c:strCache>
                <c:ptCount val="2"/>
                <c:pt idx="0">
                  <c:v> Total Receita </c:v>
                </c:pt>
                <c:pt idx="1">
                  <c:v> Total Despesas </c:v>
                </c:pt>
              </c:strCache>
            </c:strRef>
          </c:cat>
          <c:val>
            <c:numRef>
              <c:f>Jun!$B$12:$B$13</c:f>
              <c:numCache>
                <c:formatCode>_("R$"* #,##0.00_);_("R$"* \(#,##0.00\);_("R$"* "-"??_);_(@_)</c:formatCode>
                <c:ptCount val="2"/>
                <c:pt idx="0">
                  <c:v>1800</c:v>
                </c:pt>
                <c:pt idx="1">
                  <c:v>2057.8200000000002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C81-4FD6-B0F3-115564F2C982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-25"/>
        <c:axId val="444821376"/>
        <c:axId val="443932000"/>
      </c:barChart>
      <c:catAx>
        <c:axId val="44482137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43932000"/>
        <c:crosses val="autoZero"/>
        <c:auto val="1"/>
        <c:lblAlgn val="ctr"/>
        <c:lblOffset val="100"/>
        <c:noMultiLvlLbl val="0"/>
      </c:catAx>
      <c:valAx>
        <c:axId val="443932000"/>
        <c:scaling>
          <c:orientation val="minMax"/>
        </c:scaling>
        <c:delete val="1"/>
        <c:axPos val="b"/>
        <c:numFmt formatCode="_(&quot;R$&quot;* #,##0.00_);_(&quot;R$&quot;* \(#,##0.00\);_(&quot;R$&quot;* &quot;-&quot;??_);_(@_)" sourceLinked="1"/>
        <c:majorTickMark val="none"/>
        <c:minorTickMark val="none"/>
        <c:tickLblPos val="nextTo"/>
        <c:crossAx val="444821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/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800" b="1"/>
              <a:t>Despesas</a:t>
            </a:r>
            <a:r>
              <a:rPr lang="pt-BR" sz="1800" b="1" baseline="0"/>
              <a:t>  Obrigatórias</a:t>
            </a:r>
            <a:endParaRPr lang="pt-BR" sz="18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Jul!$E$26:$E$31</c:f>
              <c:strCache>
                <c:ptCount val="6"/>
                <c:pt idx="0">
                  <c:v>Condominio</c:v>
                </c:pt>
                <c:pt idx="1">
                  <c:v>Luz</c:v>
                </c:pt>
                <c:pt idx="2">
                  <c:v>Nubank</c:v>
                </c:pt>
                <c:pt idx="3">
                  <c:v>Internet</c:v>
                </c:pt>
                <c:pt idx="4">
                  <c:v>Gás</c:v>
                </c:pt>
                <c:pt idx="5">
                  <c:v>Next</c:v>
                </c:pt>
              </c:strCache>
            </c:strRef>
          </c:cat>
          <c:val>
            <c:numRef>
              <c:f>Jul!$F$26:$F$31</c:f>
              <c:numCache>
                <c:formatCode>"R$"\ #,##0.00</c:formatCode>
                <c:ptCount val="6"/>
                <c:pt idx="0">
                  <c:v>551.75</c:v>
                </c:pt>
                <c:pt idx="1">
                  <c:v>138.69999999999999</c:v>
                </c:pt>
                <c:pt idx="2">
                  <c:v>254</c:v>
                </c:pt>
                <c:pt idx="3">
                  <c:v>0</c:v>
                </c:pt>
                <c:pt idx="4">
                  <c:v>101.71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DF-414E-AAA9-A89495EE27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223727064"/>
        <c:axId val="223726736"/>
        <c:axId val="0"/>
      </c:bar3DChart>
      <c:catAx>
        <c:axId val="22372706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23726736"/>
        <c:crosses val="autoZero"/>
        <c:auto val="1"/>
        <c:lblAlgn val="ctr"/>
        <c:lblOffset val="100"/>
        <c:noMultiLvlLbl val="0"/>
      </c:catAx>
      <c:valAx>
        <c:axId val="223726736"/>
        <c:scaling>
          <c:orientation val="minMax"/>
        </c:scaling>
        <c:delete val="1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&quot;R$&quot;\ #,##0.00" sourceLinked="1"/>
        <c:majorTickMark val="none"/>
        <c:minorTickMark val="none"/>
        <c:tickLblPos val="nextTo"/>
        <c:crossAx val="2237270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/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800" b="1"/>
              <a:t>Receitas</a:t>
            </a:r>
            <a:r>
              <a:rPr lang="pt-BR" sz="1800" b="1" baseline="0"/>
              <a:t> e Despesas</a:t>
            </a:r>
            <a:endParaRPr lang="pt-BR" sz="18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0.21327016887120195"/>
          <c:y val="0.19432888597258677"/>
          <c:w val="0.75466727671615741"/>
          <c:h val="0.75474518810148727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0.21792977924052251"/>
                  <c:y val="1.3174759286168876E-4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CAD-4281-99D6-1F622A107568}"/>
                </c:ext>
              </c:extLst>
            </c:dLbl>
            <c:dLbl>
              <c:idx val="1"/>
              <c:layout>
                <c:manualLayout>
                  <c:x val="1.3981139533848507E-2"/>
                  <c:y val="-9.2591641606881471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6CAD-4281-99D6-1F622A107568}"/>
                </c:ext>
              </c:extLst>
            </c:dLbl>
            <c:spPr>
              <a:solidFill>
                <a:schemeClr val="bg1">
                  <a:lumMod val="65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Jul!$A$12:$A$13</c:f>
              <c:strCache>
                <c:ptCount val="2"/>
                <c:pt idx="0">
                  <c:v> Total Receita </c:v>
                </c:pt>
                <c:pt idx="1">
                  <c:v> Total Despesas </c:v>
                </c:pt>
              </c:strCache>
            </c:strRef>
          </c:cat>
          <c:val>
            <c:numRef>
              <c:f>Jul!$B$12:$B$13</c:f>
              <c:numCache>
                <c:formatCode>"R$"\ #,##0.00</c:formatCode>
                <c:ptCount val="2"/>
                <c:pt idx="0" formatCode="_(&quot;R$&quot;* #,##0.00_);_(&quot;R$&quot;* \(#,##0.00\);_(&quot;R$&quot;* &quot;-&quot;??_);_(@_)">
                  <c:v>1800</c:v>
                </c:pt>
                <c:pt idx="1">
                  <c:v>1714.24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CAD-4281-99D6-1F622A107568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-25"/>
        <c:axId val="444821376"/>
        <c:axId val="443932000"/>
      </c:barChart>
      <c:catAx>
        <c:axId val="44482137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43932000"/>
        <c:crosses val="autoZero"/>
        <c:auto val="1"/>
        <c:lblAlgn val="ctr"/>
        <c:lblOffset val="100"/>
        <c:noMultiLvlLbl val="0"/>
      </c:catAx>
      <c:valAx>
        <c:axId val="443932000"/>
        <c:scaling>
          <c:orientation val="minMax"/>
        </c:scaling>
        <c:delete val="1"/>
        <c:axPos val="b"/>
        <c:numFmt formatCode="_(&quot;R$&quot;* #,##0.00_);_(&quot;R$&quot;* \(#,##0.00\);_(&quot;R$&quot;* &quot;-&quot;??_);_(@_)" sourceLinked="1"/>
        <c:majorTickMark val="none"/>
        <c:minorTickMark val="none"/>
        <c:tickLblPos val="nextTo"/>
        <c:crossAx val="444821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/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800" b="1"/>
              <a:t>Despesas</a:t>
            </a:r>
            <a:r>
              <a:rPr lang="pt-BR" sz="1800" b="1" baseline="0"/>
              <a:t>  Obrigatórias</a:t>
            </a:r>
            <a:endParaRPr lang="pt-BR" sz="18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Agt!$E$26:$E$31</c:f>
              <c:strCache>
                <c:ptCount val="6"/>
                <c:pt idx="0">
                  <c:v>Condominio</c:v>
                </c:pt>
                <c:pt idx="1">
                  <c:v>Luz</c:v>
                </c:pt>
                <c:pt idx="2">
                  <c:v>Nubank</c:v>
                </c:pt>
                <c:pt idx="3">
                  <c:v>Internet</c:v>
                </c:pt>
                <c:pt idx="4">
                  <c:v>Gás</c:v>
                </c:pt>
                <c:pt idx="5">
                  <c:v>Next</c:v>
                </c:pt>
              </c:strCache>
            </c:strRef>
          </c:cat>
          <c:val>
            <c:numRef>
              <c:f>Agt!$F$26:$F$31</c:f>
              <c:numCache>
                <c:formatCode>"R$"\ #,##0.00</c:formatCode>
                <c:ptCount val="6"/>
                <c:pt idx="0">
                  <c:v>474</c:v>
                </c:pt>
                <c:pt idx="1">
                  <c:v>150</c:v>
                </c:pt>
                <c:pt idx="2">
                  <c:v>254</c:v>
                </c:pt>
                <c:pt idx="3">
                  <c:v>155</c:v>
                </c:pt>
                <c:pt idx="4">
                  <c:v>115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77B-4A8C-B9FE-6C3118DD79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223727064"/>
        <c:axId val="223726736"/>
        <c:axId val="0"/>
      </c:bar3DChart>
      <c:catAx>
        <c:axId val="22372706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23726736"/>
        <c:crosses val="autoZero"/>
        <c:auto val="1"/>
        <c:lblAlgn val="ctr"/>
        <c:lblOffset val="100"/>
        <c:noMultiLvlLbl val="0"/>
      </c:catAx>
      <c:valAx>
        <c:axId val="223726736"/>
        <c:scaling>
          <c:orientation val="minMax"/>
        </c:scaling>
        <c:delete val="1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&quot;R$&quot;\ #,##0.00" sourceLinked="1"/>
        <c:majorTickMark val="none"/>
        <c:minorTickMark val="none"/>
        <c:tickLblPos val="nextTo"/>
        <c:crossAx val="2237270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/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800" b="1"/>
              <a:t>Receitas</a:t>
            </a:r>
            <a:r>
              <a:rPr lang="pt-BR" sz="1800" b="1" baseline="0"/>
              <a:t> e Despesas</a:t>
            </a:r>
            <a:endParaRPr lang="pt-BR" sz="18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0.21327016887120195"/>
          <c:y val="0.19432888597258677"/>
          <c:w val="0.75466727671615741"/>
          <c:h val="0.75474518810148727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0.21792977924052251"/>
                  <c:y val="1.3174759286168876E-4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74C2-4D5A-87B6-371A25A23FB0}"/>
                </c:ext>
              </c:extLst>
            </c:dLbl>
            <c:dLbl>
              <c:idx val="1"/>
              <c:layout>
                <c:manualLayout>
                  <c:x val="1.9191553058112678E-2"/>
                  <c:y val="4.2343393017590485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74C2-4D5A-87B6-371A25A23FB0}"/>
                </c:ext>
              </c:extLst>
            </c:dLbl>
            <c:spPr>
              <a:solidFill>
                <a:schemeClr val="bg1">
                  <a:lumMod val="65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Agt!$A$12:$A$13</c:f>
              <c:strCache>
                <c:ptCount val="2"/>
                <c:pt idx="0">
                  <c:v> Total Receita </c:v>
                </c:pt>
                <c:pt idx="1">
                  <c:v> Total Despesas </c:v>
                </c:pt>
              </c:strCache>
            </c:strRef>
          </c:cat>
          <c:val>
            <c:numRef>
              <c:f>Agt!$B$12:$B$13</c:f>
              <c:numCache>
                <c:formatCode>"R$"\ #,##0.00</c:formatCode>
                <c:ptCount val="2"/>
                <c:pt idx="0">
                  <c:v>2300</c:v>
                </c:pt>
                <c:pt idx="1">
                  <c:v>1880.8600000000001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4C2-4D5A-87B6-371A25A23FB0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-25"/>
        <c:axId val="444821376"/>
        <c:axId val="443932000"/>
      </c:barChart>
      <c:catAx>
        <c:axId val="44482137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43932000"/>
        <c:crosses val="autoZero"/>
        <c:auto val="1"/>
        <c:lblAlgn val="ctr"/>
        <c:lblOffset val="100"/>
        <c:noMultiLvlLbl val="0"/>
      </c:catAx>
      <c:valAx>
        <c:axId val="443932000"/>
        <c:scaling>
          <c:orientation val="minMax"/>
        </c:scaling>
        <c:delete val="1"/>
        <c:axPos val="b"/>
        <c:numFmt formatCode="&quot;R$&quot;\ #,##0.00" sourceLinked="1"/>
        <c:majorTickMark val="none"/>
        <c:minorTickMark val="none"/>
        <c:tickLblPos val="nextTo"/>
        <c:crossAx val="444821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/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800" b="1"/>
              <a:t>Despesas</a:t>
            </a:r>
            <a:r>
              <a:rPr lang="pt-BR" sz="1800" b="1" baseline="0"/>
              <a:t>  Obrigatórias</a:t>
            </a:r>
            <a:endParaRPr lang="pt-BR" sz="18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Set!$E$26:$E$31</c:f>
              <c:strCache>
                <c:ptCount val="6"/>
                <c:pt idx="0">
                  <c:v>Condominio</c:v>
                </c:pt>
                <c:pt idx="1">
                  <c:v>Luz</c:v>
                </c:pt>
                <c:pt idx="2">
                  <c:v>Nubank</c:v>
                </c:pt>
                <c:pt idx="3">
                  <c:v>Internet</c:v>
                </c:pt>
                <c:pt idx="4">
                  <c:v>Gás</c:v>
                </c:pt>
                <c:pt idx="5">
                  <c:v>Next</c:v>
                </c:pt>
              </c:strCache>
            </c:strRef>
          </c:cat>
          <c:val>
            <c:numRef>
              <c:f>Set!$F$26:$F$31</c:f>
              <c:numCache>
                <c:formatCode>"R$"\ #,##0.00</c:formatCode>
                <c:ptCount val="6"/>
                <c:pt idx="0">
                  <c:v>486.39</c:v>
                </c:pt>
                <c:pt idx="1">
                  <c:v>208</c:v>
                </c:pt>
                <c:pt idx="2">
                  <c:v>254</c:v>
                </c:pt>
                <c:pt idx="3">
                  <c:v>166</c:v>
                </c:pt>
                <c:pt idx="4">
                  <c:v>115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2C4-463C-B323-0E9A43207C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223727064"/>
        <c:axId val="223726736"/>
        <c:axId val="0"/>
      </c:bar3DChart>
      <c:catAx>
        <c:axId val="22372706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23726736"/>
        <c:crosses val="autoZero"/>
        <c:auto val="1"/>
        <c:lblAlgn val="ctr"/>
        <c:lblOffset val="100"/>
        <c:noMultiLvlLbl val="0"/>
      </c:catAx>
      <c:valAx>
        <c:axId val="223726736"/>
        <c:scaling>
          <c:orientation val="minMax"/>
        </c:scaling>
        <c:delete val="1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&quot;R$&quot;\ #,##0.00" sourceLinked="1"/>
        <c:majorTickMark val="none"/>
        <c:minorTickMark val="none"/>
        <c:tickLblPos val="nextTo"/>
        <c:crossAx val="2237270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/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800" b="1"/>
              <a:t>Receitas</a:t>
            </a:r>
            <a:r>
              <a:rPr lang="pt-BR" sz="1800" b="1" baseline="0"/>
              <a:t> e Despesas</a:t>
            </a:r>
            <a:endParaRPr lang="pt-BR" sz="18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0.21327016887120195"/>
          <c:y val="0.19432888597258677"/>
          <c:w val="0.75466727671615741"/>
          <c:h val="0.75474518810148727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0.21792977924052251"/>
                  <c:y val="1.3174759286168876E-4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C30-4575-8FEB-1FE1F26EA3F6}"/>
                </c:ext>
              </c:extLst>
            </c:dLbl>
            <c:dLbl>
              <c:idx val="1"/>
              <c:layout>
                <c:manualLayout>
                  <c:x val="6.1655192474521798E-3"/>
                  <c:y val="-4.7613296732057627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6C30-4575-8FEB-1FE1F26EA3F6}"/>
                </c:ext>
              </c:extLst>
            </c:dLbl>
            <c:spPr>
              <a:solidFill>
                <a:schemeClr val="bg1">
                  <a:lumMod val="65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Set!$A$12:$A$13</c:f>
              <c:strCache>
                <c:ptCount val="2"/>
                <c:pt idx="0">
                  <c:v> Total Receita </c:v>
                </c:pt>
                <c:pt idx="1">
                  <c:v> Total Despesas </c:v>
                </c:pt>
              </c:strCache>
            </c:strRef>
          </c:cat>
          <c:val>
            <c:numRef>
              <c:f>Set!$B$12:$B$13</c:f>
              <c:numCache>
                <c:formatCode>"R$"\ #,##0.00</c:formatCode>
                <c:ptCount val="2"/>
                <c:pt idx="0" formatCode="_(&quot;R$&quot;* #,##0.00_);_(&quot;R$&quot;* \(#,##0.00\);_(&quot;R$&quot;* &quot;-&quot;??_);_(@_)">
                  <c:v>1800</c:v>
                </c:pt>
                <c:pt idx="1">
                  <c:v>1672.2799999999997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C30-4575-8FEB-1FE1F26EA3F6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-25"/>
        <c:axId val="444821376"/>
        <c:axId val="443932000"/>
      </c:barChart>
      <c:catAx>
        <c:axId val="44482137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43932000"/>
        <c:crosses val="autoZero"/>
        <c:auto val="1"/>
        <c:lblAlgn val="ctr"/>
        <c:lblOffset val="100"/>
        <c:noMultiLvlLbl val="0"/>
      </c:catAx>
      <c:valAx>
        <c:axId val="443932000"/>
        <c:scaling>
          <c:orientation val="minMax"/>
        </c:scaling>
        <c:delete val="1"/>
        <c:axPos val="b"/>
        <c:numFmt formatCode="_(&quot;R$&quot;* #,##0.00_);_(&quot;R$&quot;* \(#,##0.00\);_(&quot;R$&quot;* &quot;-&quot;??_);_(@_)" sourceLinked="1"/>
        <c:majorTickMark val="none"/>
        <c:minorTickMark val="none"/>
        <c:tickLblPos val="nextTo"/>
        <c:crossAx val="444821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/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800" b="1"/>
              <a:t>Despesas</a:t>
            </a:r>
            <a:r>
              <a:rPr lang="pt-BR" sz="1800" b="1" baseline="0"/>
              <a:t>  Obrigatórias</a:t>
            </a:r>
            <a:endParaRPr lang="pt-BR" sz="18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Out!$E$26:$E$31</c:f>
              <c:strCache>
                <c:ptCount val="6"/>
                <c:pt idx="0">
                  <c:v>Condominio</c:v>
                </c:pt>
                <c:pt idx="1">
                  <c:v>Luz</c:v>
                </c:pt>
                <c:pt idx="2">
                  <c:v>Nubank</c:v>
                </c:pt>
                <c:pt idx="3">
                  <c:v>Internet</c:v>
                </c:pt>
                <c:pt idx="4">
                  <c:v>Gás</c:v>
                </c:pt>
                <c:pt idx="5">
                  <c:v>Next</c:v>
                </c:pt>
              </c:strCache>
            </c:strRef>
          </c:cat>
          <c:val>
            <c:numRef>
              <c:f>Out!$F$26:$F$31</c:f>
              <c:numCache>
                <c:formatCode>"R$"\ #,##0.00</c:formatCode>
                <c:ptCount val="6"/>
                <c:pt idx="0">
                  <c:v>484</c:v>
                </c:pt>
                <c:pt idx="1">
                  <c:v>186</c:v>
                </c:pt>
                <c:pt idx="2">
                  <c:v>314</c:v>
                </c:pt>
                <c:pt idx="3">
                  <c:v>166</c:v>
                </c:pt>
                <c:pt idx="4">
                  <c:v>120</c:v>
                </c:pt>
                <c:pt idx="5">
                  <c:v>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603-4CEB-AFAF-D94C03927E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223727064"/>
        <c:axId val="223726736"/>
        <c:axId val="0"/>
      </c:bar3DChart>
      <c:catAx>
        <c:axId val="22372706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23726736"/>
        <c:crosses val="autoZero"/>
        <c:auto val="1"/>
        <c:lblAlgn val="ctr"/>
        <c:lblOffset val="100"/>
        <c:noMultiLvlLbl val="0"/>
      </c:catAx>
      <c:valAx>
        <c:axId val="223726736"/>
        <c:scaling>
          <c:orientation val="minMax"/>
        </c:scaling>
        <c:delete val="1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&quot;R$&quot;\ #,##0.00" sourceLinked="1"/>
        <c:majorTickMark val="none"/>
        <c:minorTickMark val="none"/>
        <c:tickLblPos val="nextTo"/>
        <c:crossAx val="2237270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/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800" b="1"/>
              <a:t>Receitas</a:t>
            </a:r>
            <a:r>
              <a:rPr lang="pt-BR" sz="1800" b="1" baseline="0"/>
              <a:t> e Despesas</a:t>
            </a:r>
            <a:endParaRPr lang="pt-BR" sz="18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0.21327016887120195"/>
          <c:y val="0.19432888597258677"/>
          <c:w val="0.75466727671615741"/>
          <c:h val="0.75474518810148727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0.21792977924052251"/>
                  <c:y val="1.3174759286168876E-4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A123-4BAC-B66E-062104F0AC05}"/>
                </c:ext>
              </c:extLst>
            </c:dLbl>
            <c:dLbl>
              <c:idx val="1"/>
              <c:layout>
                <c:manualLayout>
                  <c:x val="8.7707260095842895E-3"/>
                  <c:y val="-9.2591641606881471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A123-4BAC-B66E-062104F0AC05}"/>
                </c:ext>
              </c:extLst>
            </c:dLbl>
            <c:spPr>
              <a:solidFill>
                <a:schemeClr val="bg1">
                  <a:lumMod val="65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Out!$A$12:$A$13</c:f>
              <c:strCache>
                <c:ptCount val="2"/>
                <c:pt idx="0">
                  <c:v> Total Receita </c:v>
                </c:pt>
                <c:pt idx="1">
                  <c:v> Total Despesas </c:v>
                </c:pt>
              </c:strCache>
            </c:strRef>
          </c:cat>
          <c:val>
            <c:numRef>
              <c:f>Out!$B$12:$B$13</c:f>
              <c:numCache>
                <c:formatCode>_("R$"* #,##0.00_);_("R$"* \(#,##0.00\);_("R$"* "-"??_);_(@_)</c:formatCode>
                <c:ptCount val="2"/>
                <c:pt idx="0">
                  <c:v>1950</c:v>
                </c:pt>
                <c:pt idx="1">
                  <c:v>1884.75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123-4BAC-B66E-062104F0AC05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-25"/>
        <c:axId val="444821376"/>
        <c:axId val="443932000"/>
      </c:barChart>
      <c:catAx>
        <c:axId val="44482137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43932000"/>
        <c:crosses val="autoZero"/>
        <c:auto val="1"/>
        <c:lblAlgn val="ctr"/>
        <c:lblOffset val="100"/>
        <c:noMultiLvlLbl val="0"/>
      </c:catAx>
      <c:valAx>
        <c:axId val="443932000"/>
        <c:scaling>
          <c:orientation val="minMax"/>
        </c:scaling>
        <c:delete val="1"/>
        <c:axPos val="b"/>
        <c:numFmt formatCode="_(&quot;R$&quot;* #,##0.00_);_(&quot;R$&quot;* \(#,##0.00\);_(&quot;R$&quot;* &quot;-&quot;??_);_(@_)" sourceLinked="1"/>
        <c:majorTickMark val="none"/>
        <c:minorTickMark val="none"/>
        <c:tickLblPos val="nextTo"/>
        <c:crossAx val="444821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/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800" b="1"/>
              <a:t>Despesas</a:t>
            </a:r>
            <a:r>
              <a:rPr lang="pt-BR" sz="1800" b="1" baseline="0"/>
              <a:t>  Obrigatórias</a:t>
            </a:r>
            <a:endParaRPr lang="pt-BR" sz="18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Nov!$E$25:$E$30</c:f>
              <c:strCache>
                <c:ptCount val="6"/>
                <c:pt idx="0">
                  <c:v>Condominio</c:v>
                </c:pt>
                <c:pt idx="1">
                  <c:v>Luz</c:v>
                </c:pt>
                <c:pt idx="2">
                  <c:v>Nubank</c:v>
                </c:pt>
                <c:pt idx="3">
                  <c:v>Internet</c:v>
                </c:pt>
                <c:pt idx="4">
                  <c:v>Gás</c:v>
                </c:pt>
                <c:pt idx="5">
                  <c:v>Next</c:v>
                </c:pt>
              </c:strCache>
            </c:strRef>
          </c:cat>
          <c:val>
            <c:numRef>
              <c:f>Nov!$F$25:$F$30</c:f>
              <c:numCache>
                <c:formatCode>"R$"\ #,##0.00</c:formatCode>
                <c:ptCount val="6"/>
                <c:pt idx="0">
                  <c:v>500</c:v>
                </c:pt>
                <c:pt idx="1">
                  <c:v>196</c:v>
                </c:pt>
                <c:pt idx="2">
                  <c:v>314.8</c:v>
                </c:pt>
                <c:pt idx="3">
                  <c:v>128</c:v>
                </c:pt>
                <c:pt idx="4">
                  <c:v>101</c:v>
                </c:pt>
                <c:pt idx="5">
                  <c:v>167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75-4571-B6E5-8B15D922D7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223727064"/>
        <c:axId val="223726736"/>
        <c:axId val="0"/>
      </c:bar3DChart>
      <c:catAx>
        <c:axId val="22372706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23726736"/>
        <c:crosses val="autoZero"/>
        <c:auto val="1"/>
        <c:lblAlgn val="ctr"/>
        <c:lblOffset val="100"/>
        <c:noMultiLvlLbl val="0"/>
      </c:catAx>
      <c:valAx>
        <c:axId val="223726736"/>
        <c:scaling>
          <c:orientation val="minMax"/>
        </c:scaling>
        <c:delete val="1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&quot;R$&quot;\ #,##0.00" sourceLinked="1"/>
        <c:majorTickMark val="none"/>
        <c:minorTickMark val="none"/>
        <c:tickLblPos val="nextTo"/>
        <c:crossAx val="2237270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/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800" b="1"/>
              <a:t>Receitas</a:t>
            </a:r>
            <a:r>
              <a:rPr lang="pt-BR" sz="1800" b="1" baseline="0"/>
              <a:t> e Despesas</a:t>
            </a:r>
            <a:endParaRPr lang="pt-BR" sz="18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0.21327016887120195"/>
          <c:y val="0.19432888597258677"/>
          <c:w val="0.75466727671615741"/>
          <c:h val="0.75474518810148727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0.21792977924052251"/>
                  <c:y val="1.3174759286168876E-4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0BD1-4217-87F3-2F015EB0E380}"/>
                </c:ext>
              </c:extLst>
            </c:dLbl>
            <c:dLbl>
              <c:idx val="1"/>
              <c:layout>
                <c:manualLayout>
                  <c:x val="3.2217586868773226E-2"/>
                  <c:y val="-2.6349518572341872E-4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0BD1-4217-87F3-2F015EB0E380}"/>
                </c:ext>
              </c:extLst>
            </c:dLbl>
            <c:spPr>
              <a:solidFill>
                <a:schemeClr val="bg1">
                  <a:lumMod val="65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Nov!$A$12:$A$13</c:f>
              <c:strCache>
                <c:ptCount val="2"/>
                <c:pt idx="0">
                  <c:v> Total Receita </c:v>
                </c:pt>
                <c:pt idx="1">
                  <c:v> Total Despesas </c:v>
                </c:pt>
              </c:strCache>
            </c:strRef>
          </c:cat>
          <c:val>
            <c:numRef>
              <c:f>Nov!$B$12:$B$13</c:f>
              <c:numCache>
                <c:formatCode>"R$"\ #,##0.00</c:formatCode>
                <c:ptCount val="2"/>
                <c:pt idx="0" formatCode="_(&quot;R$&quot;* #,##0.00_);_(&quot;R$&quot;* \(#,##0.00\);_(&quot;R$&quot;* &quot;-&quot;??_);_(@_)">
                  <c:v>1800</c:v>
                </c:pt>
                <c:pt idx="1">
                  <c:v>1406.8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BD1-4217-87F3-2F015EB0E380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-25"/>
        <c:axId val="444821376"/>
        <c:axId val="443932000"/>
      </c:barChart>
      <c:catAx>
        <c:axId val="44482137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43932000"/>
        <c:crosses val="autoZero"/>
        <c:auto val="1"/>
        <c:lblAlgn val="ctr"/>
        <c:lblOffset val="100"/>
        <c:noMultiLvlLbl val="0"/>
      </c:catAx>
      <c:valAx>
        <c:axId val="443932000"/>
        <c:scaling>
          <c:orientation val="minMax"/>
        </c:scaling>
        <c:delete val="1"/>
        <c:axPos val="b"/>
        <c:numFmt formatCode="_(&quot;R$&quot;* #,##0.00_);_(&quot;R$&quot;* \(#,##0.00\);_(&quot;R$&quot;* &quot;-&quot;??_);_(@_)" sourceLinked="1"/>
        <c:majorTickMark val="none"/>
        <c:minorTickMark val="none"/>
        <c:tickLblPos val="nextTo"/>
        <c:crossAx val="444821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/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800" b="1"/>
              <a:t>Despesas</a:t>
            </a:r>
            <a:r>
              <a:rPr lang="pt-BR" sz="1800" b="1" baseline="0"/>
              <a:t>  Obrigatórias</a:t>
            </a:r>
            <a:endParaRPr lang="pt-BR" sz="18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Dez!$E$26:$E$31</c:f>
              <c:strCache>
                <c:ptCount val="6"/>
                <c:pt idx="0">
                  <c:v>Condominio</c:v>
                </c:pt>
                <c:pt idx="1">
                  <c:v>Luz</c:v>
                </c:pt>
                <c:pt idx="2">
                  <c:v>Nubank</c:v>
                </c:pt>
                <c:pt idx="3">
                  <c:v>Internet</c:v>
                </c:pt>
                <c:pt idx="4">
                  <c:v>Gás</c:v>
                </c:pt>
                <c:pt idx="5">
                  <c:v>Next</c:v>
                </c:pt>
              </c:strCache>
            </c:strRef>
          </c:cat>
          <c:val>
            <c:numRef>
              <c:f>Dez!$F$26:$F$31</c:f>
              <c:numCache>
                <c:formatCode>"R$"\ #,##0.00</c:formatCode>
                <c:ptCount val="6"/>
                <c:pt idx="0">
                  <c:v>463</c:v>
                </c:pt>
                <c:pt idx="1">
                  <c:v>253</c:v>
                </c:pt>
                <c:pt idx="2">
                  <c:v>330</c:v>
                </c:pt>
                <c:pt idx="3">
                  <c:v>158</c:v>
                </c:pt>
                <c:pt idx="4">
                  <c:v>120</c:v>
                </c:pt>
                <c:pt idx="5">
                  <c:v>181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603-4B20-A8E9-F86D92F78E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223727064"/>
        <c:axId val="223726736"/>
        <c:axId val="0"/>
      </c:bar3DChart>
      <c:catAx>
        <c:axId val="22372706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23726736"/>
        <c:crosses val="autoZero"/>
        <c:auto val="1"/>
        <c:lblAlgn val="ctr"/>
        <c:lblOffset val="100"/>
        <c:noMultiLvlLbl val="0"/>
      </c:catAx>
      <c:valAx>
        <c:axId val="223726736"/>
        <c:scaling>
          <c:orientation val="minMax"/>
        </c:scaling>
        <c:delete val="1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&quot;R$&quot;\ #,##0.00" sourceLinked="1"/>
        <c:majorTickMark val="none"/>
        <c:minorTickMark val="none"/>
        <c:tickLblPos val="nextTo"/>
        <c:crossAx val="2237270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/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800" b="1"/>
              <a:t>Receitas</a:t>
            </a:r>
            <a:r>
              <a:rPr lang="pt-BR" sz="1800" b="1" baseline="0"/>
              <a:t> e Despesas</a:t>
            </a:r>
            <a:endParaRPr lang="pt-BR" sz="18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0.21327016887120195"/>
          <c:y val="0.19432888597258677"/>
          <c:w val="0.75466727671615741"/>
          <c:h val="0.75474518810148727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0.21792977924052251"/>
                  <c:y val="1.3174759286168876E-4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1D5-4217-8278-7BEEC518EF8A}"/>
                </c:ext>
              </c:extLst>
            </c:dLbl>
            <c:dLbl>
              <c:idx val="1"/>
              <c:layout>
                <c:manualLayout>
                  <c:x val="1.6586346295980617E-2"/>
                  <c:y val="-2.7250502110617646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81D5-4217-8278-7BEEC518EF8A}"/>
                </c:ext>
              </c:extLst>
            </c:dLbl>
            <c:spPr>
              <a:solidFill>
                <a:schemeClr val="bg1">
                  <a:lumMod val="65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Dez!$A$12:$A$13</c:f>
              <c:strCache>
                <c:ptCount val="2"/>
                <c:pt idx="0">
                  <c:v> Total Receita </c:v>
                </c:pt>
                <c:pt idx="1">
                  <c:v> Total Despesas </c:v>
                </c:pt>
              </c:strCache>
            </c:strRef>
          </c:cat>
          <c:val>
            <c:numRef>
              <c:f>Dez!$B$12:$B$13</c:f>
              <c:numCache>
                <c:formatCode>_("R$"* #,##0.00_);_("R$"* \(#,##0.00\);_("R$"* "-"??_);_(@_)</c:formatCode>
                <c:ptCount val="2"/>
                <c:pt idx="0">
                  <c:v>1800</c:v>
                </c:pt>
                <c:pt idx="1">
                  <c:v>1505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1D5-4217-8278-7BEEC518EF8A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-25"/>
        <c:axId val="444821376"/>
        <c:axId val="443932000"/>
      </c:barChart>
      <c:catAx>
        <c:axId val="44482137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43932000"/>
        <c:crosses val="autoZero"/>
        <c:auto val="1"/>
        <c:lblAlgn val="ctr"/>
        <c:lblOffset val="100"/>
        <c:noMultiLvlLbl val="0"/>
      </c:catAx>
      <c:valAx>
        <c:axId val="443932000"/>
        <c:scaling>
          <c:orientation val="minMax"/>
        </c:scaling>
        <c:delete val="1"/>
        <c:axPos val="b"/>
        <c:numFmt formatCode="_(&quot;R$&quot;* #,##0.00_);_(&quot;R$&quot;* \(#,##0.00\);_(&quot;R$&quot;* &quot;-&quot;??_);_(@_)" sourceLinked="1"/>
        <c:majorTickMark val="none"/>
        <c:minorTickMark val="none"/>
        <c:tickLblPos val="nextTo"/>
        <c:crossAx val="444821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/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hyperlink" Target="#Junho!G2"/><Relationship Id="rId13" Type="http://schemas.openxmlformats.org/officeDocument/2006/relationships/hyperlink" Target="#Nov!G2"/><Relationship Id="rId3" Type="http://schemas.openxmlformats.org/officeDocument/2006/relationships/hyperlink" Target="#Jan!G2"/><Relationship Id="rId7" Type="http://schemas.openxmlformats.org/officeDocument/2006/relationships/hyperlink" Target="#Maio!G2"/><Relationship Id="rId12" Type="http://schemas.openxmlformats.org/officeDocument/2006/relationships/hyperlink" Target="#Out!G2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hyperlink" Target="#Abr!G2"/><Relationship Id="rId11" Type="http://schemas.openxmlformats.org/officeDocument/2006/relationships/hyperlink" Target="#Set!G2"/><Relationship Id="rId5" Type="http://schemas.openxmlformats.org/officeDocument/2006/relationships/hyperlink" Target="#Mar&#231;o!G2"/><Relationship Id="rId15" Type="http://schemas.openxmlformats.org/officeDocument/2006/relationships/chart" Target="../charts/chart3.xml"/><Relationship Id="rId10" Type="http://schemas.openxmlformats.org/officeDocument/2006/relationships/hyperlink" Target="#Resumo!G2"/><Relationship Id="rId4" Type="http://schemas.openxmlformats.org/officeDocument/2006/relationships/hyperlink" Target="#Fevereiro!G2"/><Relationship Id="rId9" Type="http://schemas.openxmlformats.org/officeDocument/2006/relationships/hyperlink" Target="#Julho!G2"/><Relationship Id="rId14" Type="http://schemas.openxmlformats.org/officeDocument/2006/relationships/hyperlink" Target="#Dez!G2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7.xml"/><Relationship Id="rId1" Type="http://schemas.openxmlformats.org/officeDocument/2006/relationships/chart" Target="../charts/chart6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9.xml"/><Relationship Id="rId1" Type="http://schemas.openxmlformats.org/officeDocument/2006/relationships/chart" Target="../charts/chart8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3.xml"/><Relationship Id="rId1" Type="http://schemas.openxmlformats.org/officeDocument/2006/relationships/chart" Target="../charts/chart12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5.xml"/><Relationship Id="rId1" Type="http://schemas.openxmlformats.org/officeDocument/2006/relationships/chart" Target="../charts/chart14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9.xml"/><Relationship Id="rId1" Type="http://schemas.openxmlformats.org/officeDocument/2006/relationships/chart" Target="../charts/chart18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1.xml"/><Relationship Id="rId1" Type="http://schemas.openxmlformats.org/officeDocument/2006/relationships/chart" Target="../charts/chart20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3.xml"/><Relationship Id="rId1" Type="http://schemas.openxmlformats.org/officeDocument/2006/relationships/chart" Target="../charts/chart22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5.xml"/><Relationship Id="rId1" Type="http://schemas.openxmlformats.org/officeDocument/2006/relationships/chart" Target="../charts/chart24.xml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7.xml"/><Relationship Id="rId1" Type="http://schemas.openxmlformats.org/officeDocument/2006/relationships/chart" Target="../charts/chart2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59532</xdr:rowOff>
    </xdr:from>
    <xdr:to>
      <xdr:col>2</xdr:col>
      <xdr:colOff>248045</xdr:colOff>
      <xdr:row>3</xdr:row>
      <xdr:rowOff>0</xdr:rowOff>
    </xdr:to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83EC0904-3672-4E32-844C-BAD873FF9442}"/>
            </a:ext>
          </a:extLst>
        </xdr:cNvPr>
        <xdr:cNvSpPr txBox="1"/>
      </xdr:nvSpPr>
      <xdr:spPr>
        <a:xfrm>
          <a:off x="0" y="59532"/>
          <a:ext cx="2748358" cy="506015"/>
        </a:xfrm>
        <a:prstGeom prst="rect">
          <a:avLst/>
        </a:prstGeom>
        <a:noFill/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800">
              <a:solidFill>
                <a:schemeClr val="bg1"/>
              </a:solidFill>
              <a:latin typeface="Georgia" panose="02040502050405020303" pitchFamily="18" charset="0"/>
            </a:rPr>
            <a:t>Análise</a:t>
          </a:r>
          <a:r>
            <a:rPr lang="pt-BR" sz="1800" baseline="0">
              <a:solidFill>
                <a:schemeClr val="bg1"/>
              </a:solidFill>
              <a:latin typeface="Georgia" panose="02040502050405020303" pitchFamily="18" charset="0"/>
            </a:rPr>
            <a:t> Financeira 2021</a:t>
          </a:r>
          <a:endParaRPr lang="pt-BR" sz="1800">
            <a:solidFill>
              <a:schemeClr val="bg1"/>
            </a:solidFill>
            <a:latin typeface="Georgia" panose="02040502050405020303" pitchFamily="18" charset="0"/>
          </a:endParaRPr>
        </a:p>
      </xdr:txBody>
    </xdr:sp>
    <xdr:clientData/>
  </xdr:twoCellAnchor>
  <xdr:twoCellAnchor>
    <xdr:from>
      <xdr:col>2</xdr:col>
      <xdr:colOff>155151</xdr:colOff>
      <xdr:row>15</xdr:row>
      <xdr:rowOff>93012</xdr:rowOff>
    </xdr:from>
    <xdr:to>
      <xdr:col>3</xdr:col>
      <xdr:colOff>234528</xdr:colOff>
      <xdr:row>16</xdr:row>
      <xdr:rowOff>65093</xdr:rowOff>
    </xdr:to>
    <xdr:sp macro="" textlink="">
      <xdr:nvSpPr>
        <xdr:cNvPr id="4" name="CaixaDeTexto 3">
          <a:extLst>
            <a:ext uri="{FF2B5EF4-FFF2-40B4-BE49-F238E27FC236}">
              <a16:creationId xmlns:a16="http://schemas.microsoft.com/office/drawing/2014/main" id="{D4F71F89-9508-4A9C-946E-1ACD2F1630B8}"/>
            </a:ext>
          </a:extLst>
        </xdr:cNvPr>
        <xdr:cNvSpPr txBox="1"/>
      </xdr:nvSpPr>
      <xdr:spPr>
        <a:xfrm>
          <a:off x="2656772" y="2919111"/>
          <a:ext cx="1387756" cy="233757"/>
        </a:xfrm>
        <a:prstGeom prst="rect">
          <a:avLst/>
        </a:prstGeom>
        <a:noFill/>
        <a:ln>
          <a:noFill/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Georgia" panose="02040502050405020303" pitchFamily="18" charset="0"/>
            </a:rPr>
            <a:t>Análise</a:t>
          </a:r>
          <a:r>
            <a:rPr lang="pt-BR" sz="1400" b="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Georgia" panose="02040502050405020303" pitchFamily="18" charset="0"/>
            </a:rPr>
            <a:t> Anual </a:t>
          </a:r>
          <a:endParaRPr lang="pt-BR" sz="14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Georgia" panose="02040502050405020303" pitchFamily="18" charset="0"/>
          </a:endParaRPr>
        </a:p>
      </xdr:txBody>
    </xdr:sp>
    <xdr:clientData/>
  </xdr:twoCellAnchor>
  <xdr:twoCellAnchor>
    <xdr:from>
      <xdr:col>2</xdr:col>
      <xdr:colOff>252659</xdr:colOff>
      <xdr:row>4</xdr:row>
      <xdr:rowOff>87662</xdr:rowOff>
    </xdr:from>
    <xdr:to>
      <xdr:col>5</xdr:col>
      <xdr:colOff>1018027</xdr:colOff>
      <xdr:row>14</xdr:row>
      <xdr:rowOff>149269</xdr:rowOff>
    </xdr:to>
    <xdr:graphicFrame macro="">
      <xdr:nvGraphicFramePr>
        <xdr:cNvPr id="10" name="Gráfico 9">
          <a:extLst>
            <a:ext uri="{FF2B5EF4-FFF2-40B4-BE49-F238E27FC236}">
              <a16:creationId xmlns:a16="http://schemas.microsoft.com/office/drawing/2014/main" id="{9932DF9A-4EBE-4CAC-982E-CF6C552159F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1291914</xdr:colOff>
      <xdr:row>4</xdr:row>
      <xdr:rowOff>102200</xdr:rowOff>
    </xdr:from>
    <xdr:to>
      <xdr:col>9</xdr:col>
      <xdr:colOff>1051034</xdr:colOff>
      <xdr:row>14</xdr:row>
      <xdr:rowOff>157007</xdr:rowOff>
    </xdr:to>
    <xdr:graphicFrame macro="">
      <xdr:nvGraphicFramePr>
        <xdr:cNvPr id="11" name="Gráfico 10">
          <a:extLst>
            <a:ext uri="{FF2B5EF4-FFF2-40B4-BE49-F238E27FC236}">
              <a16:creationId xmlns:a16="http://schemas.microsoft.com/office/drawing/2014/main" id="{30F1E249-E17C-4143-9CAA-6BF6F499B0D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210436</xdr:colOff>
      <xdr:row>0</xdr:row>
      <xdr:rowOff>22153</xdr:rowOff>
    </xdr:from>
    <xdr:to>
      <xdr:col>2</xdr:col>
      <xdr:colOff>985727</xdr:colOff>
      <xdr:row>1</xdr:row>
      <xdr:rowOff>33227</xdr:rowOff>
    </xdr:to>
    <xdr:sp macro="" textlink="">
      <xdr:nvSpPr>
        <xdr:cNvPr id="15" name="CaixaDeTexto 1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F17915B8-38F3-4FEC-8F25-E288A2C47106}"/>
            </a:ext>
          </a:extLst>
        </xdr:cNvPr>
        <xdr:cNvSpPr txBox="1"/>
      </xdr:nvSpPr>
      <xdr:spPr>
        <a:xfrm>
          <a:off x="2835349" y="210438"/>
          <a:ext cx="775291" cy="199359"/>
        </a:xfrm>
        <a:prstGeom prst="rect">
          <a:avLst/>
        </a:prstGeom>
        <a:noFill/>
        <a:ln>
          <a:noFill/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 b="1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Georgia" panose="02040502050405020303" pitchFamily="18" charset="0"/>
            </a:rPr>
            <a:t>Janeiro</a:t>
          </a:r>
          <a:endParaRPr lang="pt-BR" sz="1200" b="1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Georgia" panose="02040502050405020303" pitchFamily="18" charset="0"/>
          </a:endParaRPr>
        </a:p>
      </xdr:txBody>
    </xdr:sp>
    <xdr:clientData/>
  </xdr:twoCellAnchor>
  <xdr:twoCellAnchor>
    <xdr:from>
      <xdr:col>2</xdr:col>
      <xdr:colOff>941425</xdr:colOff>
      <xdr:row>0</xdr:row>
      <xdr:rowOff>11076</xdr:rowOff>
    </xdr:from>
    <xdr:to>
      <xdr:col>3</xdr:col>
      <xdr:colOff>598083</xdr:colOff>
      <xdr:row>1</xdr:row>
      <xdr:rowOff>110755</xdr:rowOff>
    </xdr:to>
    <xdr:sp macro="" textlink="">
      <xdr:nvSpPr>
        <xdr:cNvPr id="17" name="CaixaDeTexto 1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28936395-060E-4FA0-A16F-82E2CB1AA689}"/>
            </a:ext>
          </a:extLst>
        </xdr:cNvPr>
        <xdr:cNvSpPr txBox="1"/>
      </xdr:nvSpPr>
      <xdr:spPr>
        <a:xfrm>
          <a:off x="3566338" y="11076"/>
          <a:ext cx="963576" cy="287964"/>
        </a:xfrm>
        <a:prstGeom prst="rect">
          <a:avLst/>
        </a:prstGeom>
        <a:noFill/>
        <a:ln>
          <a:noFill/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200" b="1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Georgia" panose="02040502050405020303" pitchFamily="18" charset="0"/>
            </a:rPr>
            <a:t>Fevereiro</a:t>
          </a:r>
        </a:p>
        <a:p>
          <a:endParaRPr lang="pt-BR" sz="1200" b="1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Georgia" panose="02040502050405020303" pitchFamily="18" charset="0"/>
          </a:endParaRPr>
        </a:p>
      </xdr:txBody>
    </xdr:sp>
    <xdr:clientData/>
  </xdr:twoCellAnchor>
  <xdr:twoCellAnchor>
    <xdr:from>
      <xdr:col>3</xdr:col>
      <xdr:colOff>439501</xdr:colOff>
      <xdr:row>0</xdr:row>
      <xdr:rowOff>22154</xdr:rowOff>
    </xdr:from>
    <xdr:to>
      <xdr:col>4</xdr:col>
      <xdr:colOff>395197</xdr:colOff>
      <xdr:row>1</xdr:row>
      <xdr:rowOff>77531</xdr:rowOff>
    </xdr:to>
    <xdr:sp macro="" textlink="">
      <xdr:nvSpPr>
        <xdr:cNvPr id="19" name="CaixaDeTexto 18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32EA7DF8-6A2A-4EDD-8E61-27C0C255070A}"/>
            </a:ext>
          </a:extLst>
        </xdr:cNvPr>
        <xdr:cNvSpPr txBox="1"/>
      </xdr:nvSpPr>
      <xdr:spPr>
        <a:xfrm>
          <a:off x="4371332" y="22154"/>
          <a:ext cx="1096481" cy="243662"/>
        </a:xfrm>
        <a:prstGeom prst="rect">
          <a:avLst/>
        </a:prstGeom>
        <a:noFill/>
        <a:ln>
          <a:noFill/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1200" b="1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Georgia" panose="02040502050405020303" pitchFamily="18" charset="0"/>
            </a:rPr>
            <a:t>Março</a:t>
          </a:r>
        </a:p>
        <a:p>
          <a:endParaRPr lang="pt-BR" sz="1200" b="1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Georgia" panose="02040502050405020303" pitchFamily="18" charset="0"/>
          </a:endParaRPr>
        </a:p>
      </xdr:txBody>
    </xdr:sp>
    <xdr:clientData/>
  </xdr:twoCellAnchor>
  <xdr:twoCellAnchor>
    <xdr:from>
      <xdr:col>4</xdr:col>
      <xdr:colOff>343344</xdr:colOff>
      <xdr:row>0</xdr:row>
      <xdr:rowOff>33227</xdr:rowOff>
    </xdr:from>
    <xdr:to>
      <xdr:col>5</xdr:col>
      <xdr:colOff>99681</xdr:colOff>
      <xdr:row>1</xdr:row>
      <xdr:rowOff>99679</xdr:rowOff>
    </xdr:to>
    <xdr:sp macro="" textlink="">
      <xdr:nvSpPr>
        <xdr:cNvPr id="21" name="CaixaDeTexto 20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C11C563C-F2D0-4D6B-87B5-457647B03430}"/>
            </a:ext>
          </a:extLst>
        </xdr:cNvPr>
        <xdr:cNvSpPr txBox="1"/>
      </xdr:nvSpPr>
      <xdr:spPr>
        <a:xfrm>
          <a:off x="5415960" y="33227"/>
          <a:ext cx="653459" cy="254737"/>
        </a:xfrm>
        <a:prstGeom prst="rect">
          <a:avLst/>
        </a:prstGeom>
        <a:noFill/>
        <a:ln>
          <a:noFill/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1200" b="1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Georgia" panose="02040502050405020303" pitchFamily="18" charset="0"/>
            </a:rPr>
            <a:t>Abril</a:t>
          </a:r>
        </a:p>
        <a:p>
          <a:endParaRPr lang="pt-BR" sz="1200" b="1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Georgia" panose="02040502050405020303" pitchFamily="18" charset="0"/>
          </a:endParaRPr>
        </a:p>
      </xdr:txBody>
    </xdr:sp>
    <xdr:clientData/>
  </xdr:twoCellAnchor>
  <xdr:twoCellAnchor>
    <xdr:from>
      <xdr:col>5</xdr:col>
      <xdr:colOff>465175</xdr:colOff>
      <xdr:row>0</xdr:row>
      <xdr:rowOff>22150</xdr:rowOff>
    </xdr:from>
    <xdr:to>
      <xdr:col>5</xdr:col>
      <xdr:colOff>1096483</xdr:colOff>
      <xdr:row>1</xdr:row>
      <xdr:rowOff>99679</xdr:rowOff>
    </xdr:to>
    <xdr:sp macro="" textlink="">
      <xdr:nvSpPr>
        <xdr:cNvPr id="23" name="CaixaDeTexto 22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FBECDC00-8BD9-4112-BD60-85469164BD38}"/>
            </a:ext>
          </a:extLst>
        </xdr:cNvPr>
        <xdr:cNvSpPr txBox="1"/>
      </xdr:nvSpPr>
      <xdr:spPr>
        <a:xfrm>
          <a:off x="6434913" y="22150"/>
          <a:ext cx="631308" cy="265814"/>
        </a:xfrm>
        <a:prstGeom prst="rect">
          <a:avLst/>
        </a:prstGeom>
        <a:noFill/>
        <a:ln>
          <a:noFill/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1200" b="1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Georgia" panose="02040502050405020303" pitchFamily="18" charset="0"/>
            </a:rPr>
            <a:t>Maio</a:t>
          </a:r>
        </a:p>
        <a:p>
          <a:endParaRPr lang="pt-BR" sz="1200" b="1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Georgia" panose="02040502050405020303" pitchFamily="18" charset="0"/>
          </a:endParaRPr>
        </a:p>
      </xdr:txBody>
    </xdr:sp>
    <xdr:clientData/>
  </xdr:twoCellAnchor>
  <xdr:twoCellAnchor>
    <xdr:from>
      <xdr:col>6</xdr:col>
      <xdr:colOff>33228</xdr:colOff>
      <xdr:row>0</xdr:row>
      <xdr:rowOff>22154</xdr:rowOff>
    </xdr:from>
    <xdr:to>
      <xdr:col>7</xdr:col>
      <xdr:colOff>55378</xdr:colOff>
      <xdr:row>1</xdr:row>
      <xdr:rowOff>77531</xdr:rowOff>
    </xdr:to>
    <xdr:sp macro="" textlink="">
      <xdr:nvSpPr>
        <xdr:cNvPr id="25" name="CaixaDeTexto 24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4010FA00-3D0B-4566-BF49-984992ADEA06}"/>
            </a:ext>
          </a:extLst>
        </xdr:cNvPr>
        <xdr:cNvSpPr txBox="1"/>
      </xdr:nvSpPr>
      <xdr:spPr>
        <a:xfrm>
          <a:off x="7320961" y="22154"/>
          <a:ext cx="708836" cy="243662"/>
        </a:xfrm>
        <a:prstGeom prst="rect">
          <a:avLst/>
        </a:prstGeom>
        <a:noFill/>
        <a:ln>
          <a:noFill/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1200" b="1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Georgia" panose="02040502050405020303" pitchFamily="18" charset="0"/>
            </a:rPr>
            <a:t>Junho</a:t>
          </a:r>
        </a:p>
        <a:p>
          <a:endParaRPr lang="pt-BR" sz="1200" b="1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Georgia" panose="02040502050405020303" pitchFamily="18" charset="0"/>
          </a:endParaRPr>
        </a:p>
      </xdr:txBody>
    </xdr:sp>
    <xdr:clientData/>
  </xdr:twoCellAnchor>
  <xdr:twoCellAnchor>
    <xdr:from>
      <xdr:col>2</xdr:col>
      <xdr:colOff>177209</xdr:colOff>
      <xdr:row>2</xdr:row>
      <xdr:rowOff>99680</xdr:rowOff>
    </xdr:from>
    <xdr:to>
      <xdr:col>2</xdr:col>
      <xdr:colOff>904673</xdr:colOff>
      <xdr:row>3</xdr:row>
      <xdr:rowOff>155057</xdr:rowOff>
    </xdr:to>
    <xdr:sp macro="" textlink="">
      <xdr:nvSpPr>
        <xdr:cNvPr id="27" name="CaixaDeTexto 26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C8F30039-C3ED-4F53-86C0-468552DE21EB}"/>
            </a:ext>
          </a:extLst>
        </xdr:cNvPr>
        <xdr:cNvSpPr txBox="1"/>
      </xdr:nvSpPr>
      <xdr:spPr>
        <a:xfrm>
          <a:off x="2802122" y="476250"/>
          <a:ext cx="727464" cy="243662"/>
        </a:xfrm>
        <a:prstGeom prst="rect">
          <a:avLst/>
        </a:prstGeom>
        <a:noFill/>
        <a:ln>
          <a:noFill/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1200" b="1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Georgia" panose="02040502050405020303" pitchFamily="18" charset="0"/>
            </a:rPr>
            <a:t>Julho</a:t>
          </a:r>
          <a:endParaRPr lang="pt-BR" sz="1400" b="1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Georgia" panose="02040502050405020303" pitchFamily="18" charset="0"/>
          </a:endParaRPr>
        </a:p>
      </xdr:txBody>
    </xdr:sp>
    <xdr:clientData/>
  </xdr:twoCellAnchor>
  <xdr:twoCellAnchor>
    <xdr:from>
      <xdr:col>3</xdr:col>
      <xdr:colOff>653460</xdr:colOff>
      <xdr:row>2</xdr:row>
      <xdr:rowOff>66454</xdr:rowOff>
    </xdr:from>
    <xdr:to>
      <xdr:col>4</xdr:col>
      <xdr:colOff>251216</xdr:colOff>
      <xdr:row>3</xdr:row>
      <xdr:rowOff>155059</xdr:rowOff>
    </xdr:to>
    <xdr:sp macro="" textlink="">
      <xdr:nvSpPr>
        <xdr:cNvPr id="29" name="CaixaDeTexto 28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C41540D5-8D42-46A9-A368-BBB7D24DA771}"/>
            </a:ext>
          </a:extLst>
        </xdr:cNvPr>
        <xdr:cNvSpPr txBox="1"/>
      </xdr:nvSpPr>
      <xdr:spPr>
        <a:xfrm>
          <a:off x="4585291" y="443024"/>
          <a:ext cx="738541" cy="276890"/>
        </a:xfrm>
        <a:prstGeom prst="rect">
          <a:avLst/>
        </a:prstGeom>
        <a:noFill/>
        <a:ln>
          <a:noFill/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1200" b="1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Georgia" panose="02040502050405020303" pitchFamily="18" charset="0"/>
            </a:rPr>
            <a:t>Agosto</a:t>
          </a:r>
        </a:p>
        <a:p>
          <a:endParaRPr lang="pt-BR" sz="1200" b="1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Georgia" panose="02040502050405020303" pitchFamily="18" charset="0"/>
          </a:endParaRPr>
        </a:p>
      </xdr:txBody>
    </xdr:sp>
    <xdr:clientData/>
  </xdr:twoCellAnchor>
  <xdr:twoCellAnchor>
    <xdr:from>
      <xdr:col>2</xdr:col>
      <xdr:colOff>993278</xdr:colOff>
      <xdr:row>2</xdr:row>
      <xdr:rowOff>77530</xdr:rowOff>
    </xdr:from>
    <xdr:to>
      <xdr:col>3</xdr:col>
      <xdr:colOff>675611</xdr:colOff>
      <xdr:row>3</xdr:row>
      <xdr:rowOff>177211</xdr:rowOff>
    </xdr:to>
    <xdr:sp macro="" textlink="">
      <xdr:nvSpPr>
        <xdr:cNvPr id="30" name="CaixaDeTexto 29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A06EBDB-F192-4B5E-8B5B-172856550CD5}"/>
            </a:ext>
          </a:extLst>
        </xdr:cNvPr>
        <xdr:cNvSpPr txBox="1"/>
      </xdr:nvSpPr>
      <xdr:spPr>
        <a:xfrm>
          <a:off x="3618191" y="454100"/>
          <a:ext cx="989251" cy="287966"/>
        </a:xfrm>
        <a:prstGeom prst="rect">
          <a:avLst/>
        </a:prstGeom>
        <a:noFill/>
        <a:ln>
          <a:noFill/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200" b="1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Georgia" panose="02040502050405020303" pitchFamily="18" charset="0"/>
            </a:rPr>
            <a:t>Setembro</a:t>
          </a:r>
        </a:p>
      </xdr:txBody>
    </xdr:sp>
    <xdr:clientData/>
  </xdr:twoCellAnchor>
  <xdr:twoCellAnchor>
    <xdr:from>
      <xdr:col>4</xdr:col>
      <xdr:colOff>339819</xdr:colOff>
      <xdr:row>2</xdr:row>
      <xdr:rowOff>77530</xdr:rowOff>
    </xdr:from>
    <xdr:to>
      <xdr:col>5</xdr:col>
      <xdr:colOff>387644</xdr:colOff>
      <xdr:row>3</xdr:row>
      <xdr:rowOff>155059</xdr:rowOff>
    </xdr:to>
    <xdr:sp macro="" textlink="">
      <xdr:nvSpPr>
        <xdr:cNvPr id="32" name="CaixaDeTexto 31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34D287AE-EA6C-4CD6-93EA-DD0BAAEF817B}"/>
            </a:ext>
          </a:extLst>
        </xdr:cNvPr>
        <xdr:cNvSpPr txBox="1"/>
      </xdr:nvSpPr>
      <xdr:spPr>
        <a:xfrm>
          <a:off x="5412435" y="454100"/>
          <a:ext cx="944947" cy="265814"/>
        </a:xfrm>
        <a:prstGeom prst="rect">
          <a:avLst/>
        </a:prstGeom>
        <a:noFill/>
        <a:ln>
          <a:noFill/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200" b="1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Georgia" panose="02040502050405020303" pitchFamily="18" charset="0"/>
            </a:rPr>
            <a:t>Outubro</a:t>
          </a:r>
        </a:p>
      </xdr:txBody>
    </xdr:sp>
    <xdr:clientData/>
  </xdr:twoCellAnchor>
  <xdr:twoCellAnchor>
    <xdr:from>
      <xdr:col>5</xdr:col>
      <xdr:colOff>262289</xdr:colOff>
      <xdr:row>2</xdr:row>
      <xdr:rowOff>66455</xdr:rowOff>
    </xdr:from>
    <xdr:to>
      <xdr:col>6</xdr:col>
      <xdr:colOff>55375</xdr:colOff>
      <xdr:row>3</xdr:row>
      <xdr:rowOff>166135</xdr:rowOff>
    </xdr:to>
    <xdr:sp macro="" textlink="">
      <xdr:nvSpPr>
        <xdr:cNvPr id="33" name="CaixaDeTexto 32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E37AD00D-5B98-46D4-9F37-A017BB19AE29}"/>
            </a:ext>
          </a:extLst>
        </xdr:cNvPr>
        <xdr:cNvSpPr txBox="1"/>
      </xdr:nvSpPr>
      <xdr:spPr>
        <a:xfrm>
          <a:off x="6232027" y="443025"/>
          <a:ext cx="1111081" cy="287965"/>
        </a:xfrm>
        <a:prstGeom prst="rect">
          <a:avLst/>
        </a:prstGeom>
        <a:noFill/>
        <a:ln>
          <a:noFill/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200" b="1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Georgia" panose="02040502050405020303" pitchFamily="18" charset="0"/>
            </a:rPr>
            <a:t>Novembro</a:t>
          </a:r>
        </a:p>
      </xdr:txBody>
    </xdr:sp>
    <xdr:clientData/>
  </xdr:twoCellAnchor>
  <xdr:twoCellAnchor>
    <xdr:from>
      <xdr:col>6</xdr:col>
      <xdr:colOff>13273</xdr:colOff>
      <xdr:row>2</xdr:row>
      <xdr:rowOff>55379</xdr:rowOff>
    </xdr:from>
    <xdr:to>
      <xdr:col>7</xdr:col>
      <xdr:colOff>343342</xdr:colOff>
      <xdr:row>3</xdr:row>
      <xdr:rowOff>166136</xdr:rowOff>
    </xdr:to>
    <xdr:sp macro="" textlink="">
      <xdr:nvSpPr>
        <xdr:cNvPr id="35" name="CaixaDeTexto 34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9FF730D8-0F5C-4EF6-B054-A152BDF9A67C}"/>
            </a:ext>
          </a:extLst>
        </xdr:cNvPr>
        <xdr:cNvSpPr txBox="1"/>
      </xdr:nvSpPr>
      <xdr:spPr>
        <a:xfrm>
          <a:off x="7478215" y="431949"/>
          <a:ext cx="1016755" cy="299042"/>
        </a:xfrm>
        <a:prstGeom prst="rect">
          <a:avLst/>
        </a:prstGeom>
        <a:noFill/>
        <a:ln>
          <a:noFill/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200" b="1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Georgia" panose="02040502050405020303" pitchFamily="18" charset="0"/>
            </a:rPr>
            <a:t>Dezembro</a:t>
          </a:r>
        </a:p>
      </xdr:txBody>
    </xdr:sp>
    <xdr:clientData/>
  </xdr:twoCellAnchor>
  <xdr:twoCellAnchor>
    <xdr:from>
      <xdr:col>8</xdr:col>
      <xdr:colOff>1751533</xdr:colOff>
      <xdr:row>15</xdr:row>
      <xdr:rowOff>85781</xdr:rowOff>
    </xdr:from>
    <xdr:to>
      <xdr:col>10</xdr:col>
      <xdr:colOff>423959</xdr:colOff>
      <xdr:row>16</xdr:row>
      <xdr:rowOff>183297</xdr:rowOff>
    </xdr:to>
    <xdr:sp macro="" textlink="">
      <xdr:nvSpPr>
        <xdr:cNvPr id="37" name="CaixaDeTexto 36">
          <a:extLst>
            <a:ext uri="{FF2B5EF4-FFF2-40B4-BE49-F238E27FC236}">
              <a16:creationId xmlns:a16="http://schemas.microsoft.com/office/drawing/2014/main" id="{F147579D-2061-4D2B-8529-3C09514687EE}"/>
            </a:ext>
          </a:extLst>
        </xdr:cNvPr>
        <xdr:cNvSpPr txBox="1"/>
      </xdr:nvSpPr>
      <xdr:spPr>
        <a:xfrm>
          <a:off x="10937136" y="3030867"/>
          <a:ext cx="1814582" cy="360275"/>
        </a:xfrm>
        <a:prstGeom prst="rect">
          <a:avLst/>
        </a:prstGeom>
        <a:noFill/>
        <a:ln>
          <a:noFill/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Georgia" panose="02040502050405020303" pitchFamily="18" charset="0"/>
            </a:rPr>
            <a:t>Inflação</a:t>
          </a:r>
          <a:r>
            <a:rPr lang="pt-BR" sz="1400" b="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Georgia" panose="02040502050405020303" pitchFamily="18" charset="0"/>
            </a:rPr>
            <a:t> Pessoal</a:t>
          </a:r>
          <a:endParaRPr lang="pt-BR" sz="14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Georgia" panose="02040502050405020303" pitchFamily="18" charset="0"/>
          </a:endParaRPr>
        </a:p>
      </xdr:txBody>
    </xdr:sp>
    <xdr:clientData/>
  </xdr:twoCellAnchor>
  <xdr:twoCellAnchor>
    <xdr:from>
      <xdr:col>2</xdr:col>
      <xdr:colOff>294929</xdr:colOff>
      <xdr:row>35</xdr:row>
      <xdr:rowOff>69452</xdr:rowOff>
    </xdr:from>
    <xdr:to>
      <xdr:col>9</xdr:col>
      <xdr:colOff>106415</xdr:colOff>
      <xdr:row>53</xdr:row>
      <xdr:rowOff>19841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847AEA5-3E0B-49B7-A66D-7CA4850CA7D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142875</xdr:colOff>
      <xdr:row>1</xdr:row>
      <xdr:rowOff>0</xdr:rowOff>
    </xdr:from>
    <xdr:to>
      <xdr:col>8</xdr:col>
      <xdr:colOff>28575</xdr:colOff>
      <xdr:row>1</xdr:row>
      <xdr:rowOff>47625</xdr:rowOff>
    </xdr:to>
    <xdr:sp macro="" textlink="">
      <xdr:nvSpPr>
        <xdr:cNvPr id="3" name="Retângulo 2">
          <a:extLst>
            <a:ext uri="{FF2B5EF4-FFF2-40B4-BE49-F238E27FC236}">
              <a16:creationId xmlns:a16="http://schemas.microsoft.com/office/drawing/2014/main" id="{A8F1D9AA-A942-42F1-9F42-D3006CD4320B}"/>
            </a:ext>
          </a:extLst>
        </xdr:cNvPr>
        <xdr:cNvSpPr/>
      </xdr:nvSpPr>
      <xdr:spPr>
        <a:xfrm>
          <a:off x="8258175" y="209549"/>
          <a:ext cx="1381125" cy="342901"/>
        </a:xfrm>
        <a:prstGeom prst="rect">
          <a:avLst/>
        </a:prstGeom>
        <a:noFill/>
        <a:ln>
          <a:noFill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800" b="0" cap="none" spc="0">
              <a:ln w="0">
                <a:noFill/>
              </a:ln>
              <a:solidFill>
                <a:schemeClr val="bg1"/>
              </a:solidFill>
              <a:effectLst/>
            </a:rPr>
            <a:t>Janeiro</a:t>
          </a:r>
        </a:p>
      </xdr:txBody>
    </xdr:sp>
    <xdr:clientData/>
  </xdr:twoCellAnchor>
  <xdr:twoCellAnchor>
    <xdr:from>
      <xdr:col>6</xdr:col>
      <xdr:colOff>462543</xdr:colOff>
      <xdr:row>0</xdr:row>
      <xdr:rowOff>354283</xdr:rowOff>
    </xdr:from>
    <xdr:to>
      <xdr:col>7</xdr:col>
      <xdr:colOff>665880</xdr:colOff>
      <xdr:row>2</xdr:row>
      <xdr:rowOff>79860</xdr:rowOff>
    </xdr:to>
    <xdr:sp macro="" textlink="">
      <xdr:nvSpPr>
        <xdr:cNvPr id="5" name="Retângulo 4">
          <a:extLst>
            <a:ext uri="{FF2B5EF4-FFF2-40B4-BE49-F238E27FC236}">
              <a16:creationId xmlns:a16="http://schemas.microsoft.com/office/drawing/2014/main" id="{60896E1A-B51F-419C-B3E3-D2099F7E907F}"/>
            </a:ext>
          </a:extLst>
        </xdr:cNvPr>
        <xdr:cNvSpPr/>
      </xdr:nvSpPr>
      <xdr:spPr>
        <a:xfrm>
          <a:off x="8396171" y="354283"/>
          <a:ext cx="1934099" cy="399297"/>
        </a:xfrm>
        <a:prstGeom prst="rect">
          <a:avLst/>
        </a:prstGeom>
        <a:noFill/>
        <a:ln>
          <a:noFill/>
        </a:ln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pt-BR" sz="1800" b="1">
              <a:solidFill>
                <a:schemeClr val="bg1"/>
              </a:solidFill>
            </a:rPr>
            <a:t>Janeiro</a:t>
          </a:r>
        </a:p>
      </xdr:txBody>
    </xdr:sp>
    <xdr:clientData/>
  </xdr:twoCellAnchor>
  <xdr:twoCellAnchor>
    <xdr:from>
      <xdr:col>3</xdr:col>
      <xdr:colOff>329592</xdr:colOff>
      <xdr:row>3</xdr:row>
      <xdr:rowOff>160069</xdr:rowOff>
    </xdr:from>
    <xdr:to>
      <xdr:col>6</xdr:col>
      <xdr:colOff>568879</xdr:colOff>
      <xdr:row>18</xdr:row>
      <xdr:rowOff>44841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F05E551-60E1-4C45-98FC-49CF922FA9D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677526</xdr:colOff>
      <xdr:row>3</xdr:row>
      <xdr:rowOff>172616</xdr:rowOff>
    </xdr:from>
    <xdr:to>
      <xdr:col>9</xdr:col>
      <xdr:colOff>371708</xdr:colOff>
      <xdr:row>18</xdr:row>
      <xdr:rowOff>45770</xdr:rowOff>
    </xdr:to>
    <xdr:graphicFrame macro="">
      <xdr:nvGraphicFramePr>
        <xdr:cNvPr id="10" name="Gráfico 9">
          <a:extLst>
            <a:ext uri="{FF2B5EF4-FFF2-40B4-BE49-F238E27FC236}">
              <a16:creationId xmlns:a16="http://schemas.microsoft.com/office/drawing/2014/main" id="{9716D367-E421-4B74-A4BD-2AE5A07B159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</xdr:col>
      <xdr:colOff>1198653</xdr:colOff>
      <xdr:row>22</xdr:row>
      <xdr:rowOff>60819</xdr:rowOff>
    </xdr:from>
    <xdr:to>
      <xdr:col>4</xdr:col>
      <xdr:colOff>1615518</xdr:colOff>
      <xdr:row>23</xdr:row>
      <xdr:rowOff>128427</xdr:rowOff>
    </xdr:to>
    <xdr:sp macro="[0]!DespesasJaneiro" textlink="">
      <xdr:nvSpPr>
        <xdr:cNvPr id="2" name="CaixaDeTexto 1">
          <a:extLst>
            <a:ext uri="{FF2B5EF4-FFF2-40B4-BE49-F238E27FC236}">
              <a16:creationId xmlns:a16="http://schemas.microsoft.com/office/drawing/2014/main" id="{14C677E9-3618-41D1-99F6-0A3471AD278B}"/>
            </a:ext>
          </a:extLst>
        </xdr:cNvPr>
        <xdr:cNvSpPr txBox="1"/>
      </xdr:nvSpPr>
      <xdr:spPr>
        <a:xfrm>
          <a:off x="4805310" y="4801915"/>
          <a:ext cx="1626219" cy="260248"/>
        </a:xfrm>
        <a:prstGeom prst="rect">
          <a:avLst/>
        </a:prstGeom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1100"/>
            <a:t>Inserir</a:t>
          </a:r>
          <a:r>
            <a:rPr lang="pt-BR" sz="1100" baseline="0"/>
            <a:t> Despesas</a:t>
          </a:r>
          <a:endParaRPr lang="pt-BR" sz="1100"/>
        </a:p>
      </xdr:txBody>
    </xdr:sp>
    <xdr:clientData/>
  </xdr:twoCellAnchor>
  <xdr:twoCellAnchor>
    <xdr:from>
      <xdr:col>0</xdr:col>
      <xdr:colOff>50066</xdr:colOff>
      <xdr:row>22</xdr:row>
      <xdr:rowOff>19577</xdr:rowOff>
    </xdr:from>
    <xdr:to>
      <xdr:col>0</xdr:col>
      <xdr:colOff>1359186</xdr:colOff>
      <xdr:row>23</xdr:row>
      <xdr:rowOff>104542</xdr:rowOff>
    </xdr:to>
    <xdr:sp macro="[0]!RendaJan" textlink="">
      <xdr:nvSpPr>
        <xdr:cNvPr id="7" name="CaixaDeTexto 6">
          <a:extLst>
            <a:ext uri="{FF2B5EF4-FFF2-40B4-BE49-F238E27FC236}">
              <a16:creationId xmlns:a16="http://schemas.microsoft.com/office/drawing/2014/main" id="{B24726C5-CE0C-410B-8483-2108DEF4ED15}"/>
            </a:ext>
          </a:extLst>
        </xdr:cNvPr>
        <xdr:cNvSpPr txBox="1"/>
      </xdr:nvSpPr>
      <xdr:spPr>
        <a:xfrm>
          <a:off x="50066" y="4665918"/>
          <a:ext cx="1309120" cy="270819"/>
        </a:xfrm>
        <a:prstGeom prst="rect">
          <a:avLst/>
        </a:prstGeom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/>
            <a:t>Inserir</a:t>
          </a:r>
          <a:r>
            <a:rPr lang="pt-BR" sz="1100" baseline="0"/>
            <a:t> Renda Extra</a:t>
          </a:r>
          <a:endParaRPr lang="pt-BR" sz="1100"/>
        </a:p>
      </xdr:txBody>
    </xdr:sp>
    <xdr:clientData/>
  </xdr:twoCellAnchor>
  <xdr:twoCellAnchor>
    <xdr:from>
      <xdr:col>0</xdr:col>
      <xdr:colOff>69696</xdr:colOff>
      <xdr:row>37</xdr:row>
      <xdr:rowOff>58078</xdr:rowOff>
    </xdr:from>
    <xdr:to>
      <xdr:col>0</xdr:col>
      <xdr:colOff>965692</xdr:colOff>
      <xdr:row>38</xdr:row>
      <xdr:rowOff>117229</xdr:rowOff>
    </xdr:to>
    <xdr:sp macro="[0]!LazerJan" textlink="">
      <xdr:nvSpPr>
        <xdr:cNvPr id="28" name="CaixaDeTexto 27">
          <a:extLst>
            <a:ext uri="{FF2B5EF4-FFF2-40B4-BE49-F238E27FC236}">
              <a16:creationId xmlns:a16="http://schemas.microsoft.com/office/drawing/2014/main" id="{E81EF3F9-F8A4-49E1-A57B-C20DAC38BEC7}"/>
            </a:ext>
          </a:extLst>
        </xdr:cNvPr>
        <xdr:cNvSpPr txBox="1"/>
      </xdr:nvSpPr>
      <xdr:spPr>
        <a:xfrm>
          <a:off x="69696" y="7712926"/>
          <a:ext cx="895996" cy="245004"/>
        </a:xfrm>
        <a:prstGeom prst="rect">
          <a:avLst/>
        </a:prstGeom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/>
            <a:t>Inserir</a:t>
          </a:r>
          <a:r>
            <a:rPr lang="pt-BR" sz="1100" baseline="0"/>
            <a:t> Lazer </a:t>
          </a:r>
          <a:endParaRPr lang="pt-BR" sz="1100"/>
        </a:p>
      </xdr:txBody>
    </xdr:sp>
    <xdr:clientData/>
  </xdr:twoCellAnchor>
  <xdr:twoCellAnchor>
    <xdr:from>
      <xdr:col>4</xdr:col>
      <xdr:colOff>10884</xdr:colOff>
      <xdr:row>37</xdr:row>
      <xdr:rowOff>116411</xdr:rowOff>
    </xdr:from>
    <xdr:to>
      <xdr:col>4</xdr:col>
      <xdr:colOff>1323476</xdr:colOff>
      <xdr:row>39</xdr:row>
      <xdr:rowOff>15608</xdr:rowOff>
    </xdr:to>
    <xdr:sp macro="[0]!ComprasJaneiro" textlink="">
      <xdr:nvSpPr>
        <xdr:cNvPr id="38" name="CaixaDeTexto 37">
          <a:extLst>
            <a:ext uri="{FF2B5EF4-FFF2-40B4-BE49-F238E27FC236}">
              <a16:creationId xmlns:a16="http://schemas.microsoft.com/office/drawing/2014/main" id="{3D0D88DF-AA50-4387-A0B4-501CE9C1DD5F}"/>
            </a:ext>
          </a:extLst>
        </xdr:cNvPr>
        <xdr:cNvSpPr txBox="1"/>
      </xdr:nvSpPr>
      <xdr:spPr>
        <a:xfrm>
          <a:off x="4819847" y="8514673"/>
          <a:ext cx="1312592" cy="270905"/>
        </a:xfrm>
        <a:prstGeom prst="rect">
          <a:avLst/>
        </a:prstGeom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/>
            <a:t>Inserir</a:t>
          </a:r>
          <a:r>
            <a:rPr lang="pt-BR" sz="1100" baseline="0"/>
            <a:t> Compra</a:t>
          </a:r>
          <a:endParaRPr lang="pt-BR" sz="1100"/>
        </a:p>
      </xdr:txBody>
    </xdr:sp>
    <xdr:clientData/>
  </xdr:twoCellAnchor>
  <xdr:twoCellAnchor>
    <xdr:from>
      <xdr:col>4</xdr:col>
      <xdr:colOff>43905</xdr:colOff>
      <xdr:row>30</xdr:row>
      <xdr:rowOff>984</xdr:rowOff>
    </xdr:from>
    <xdr:to>
      <xdr:col>4</xdr:col>
      <xdr:colOff>1356497</xdr:colOff>
      <xdr:row>31</xdr:row>
      <xdr:rowOff>74419</xdr:rowOff>
    </xdr:to>
    <xdr:sp macro="[0]!Despesas2jan" textlink="">
      <xdr:nvSpPr>
        <xdr:cNvPr id="44" name="CaixaDeTexto 43">
          <a:extLst>
            <a:ext uri="{FF2B5EF4-FFF2-40B4-BE49-F238E27FC236}">
              <a16:creationId xmlns:a16="http://schemas.microsoft.com/office/drawing/2014/main" id="{CD5251CC-AB1F-46FA-99A7-4EFF7424F4EB}"/>
            </a:ext>
          </a:extLst>
        </xdr:cNvPr>
        <xdr:cNvSpPr txBox="1"/>
      </xdr:nvSpPr>
      <xdr:spPr>
        <a:xfrm>
          <a:off x="4852868" y="6157386"/>
          <a:ext cx="1312592" cy="259289"/>
        </a:xfrm>
        <a:prstGeom prst="rect">
          <a:avLst/>
        </a:prstGeom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/>
            <a:t>Inserir</a:t>
          </a:r>
          <a:r>
            <a:rPr lang="pt-BR" sz="1100" baseline="0"/>
            <a:t> </a:t>
          </a:r>
          <a:r>
            <a:rPr lang="pt-BR" sz="1050" baseline="0"/>
            <a:t>Despesas</a:t>
          </a:r>
          <a:endParaRPr lang="pt-BR" sz="1100"/>
        </a:p>
      </xdr:txBody>
    </xdr:sp>
    <xdr:clientData/>
  </xdr:twoCellAnchor>
  <xdr:twoCellAnchor>
    <xdr:from>
      <xdr:col>0</xdr:col>
      <xdr:colOff>69696</xdr:colOff>
      <xdr:row>30</xdr:row>
      <xdr:rowOff>18664</xdr:rowOff>
    </xdr:from>
    <xdr:to>
      <xdr:col>0</xdr:col>
      <xdr:colOff>1335824</xdr:colOff>
      <xdr:row>31</xdr:row>
      <xdr:rowOff>69694</xdr:rowOff>
    </xdr:to>
    <xdr:sp macro="[0]!CuidadosJan" textlink="">
      <xdr:nvSpPr>
        <xdr:cNvPr id="50" name="CaixaDeTexto 49">
          <a:extLst>
            <a:ext uri="{FF2B5EF4-FFF2-40B4-BE49-F238E27FC236}">
              <a16:creationId xmlns:a16="http://schemas.microsoft.com/office/drawing/2014/main" id="{E9DD3B4C-31E4-4F2D-AACA-B721ECB84D01}"/>
            </a:ext>
          </a:extLst>
        </xdr:cNvPr>
        <xdr:cNvSpPr txBox="1"/>
      </xdr:nvSpPr>
      <xdr:spPr>
        <a:xfrm>
          <a:off x="69696" y="6175066"/>
          <a:ext cx="1266128" cy="236884"/>
        </a:xfrm>
        <a:prstGeom prst="rect">
          <a:avLst/>
        </a:prstGeom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/>
            <a:t>Inserir</a:t>
          </a:r>
          <a:r>
            <a:rPr lang="pt-BR" sz="1100" baseline="0"/>
            <a:t> Cuidados</a:t>
          </a:r>
          <a:endParaRPr lang="pt-BR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142875</xdr:colOff>
      <xdr:row>1</xdr:row>
      <xdr:rowOff>0</xdr:rowOff>
    </xdr:from>
    <xdr:to>
      <xdr:col>8</xdr:col>
      <xdr:colOff>28575</xdr:colOff>
      <xdr:row>1</xdr:row>
      <xdr:rowOff>47625</xdr:rowOff>
    </xdr:to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F8834ACA-6A38-4FAA-AF78-8E483D7DA0A7}"/>
            </a:ext>
          </a:extLst>
        </xdr:cNvPr>
        <xdr:cNvSpPr/>
      </xdr:nvSpPr>
      <xdr:spPr>
        <a:xfrm>
          <a:off x="9810750" y="438150"/>
          <a:ext cx="1552575" cy="47625"/>
        </a:xfrm>
        <a:prstGeom prst="rect">
          <a:avLst/>
        </a:prstGeom>
        <a:noFill/>
        <a:ln>
          <a:noFill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800" b="0" cap="none" spc="0">
              <a:ln w="0">
                <a:noFill/>
              </a:ln>
              <a:solidFill>
                <a:schemeClr val="bg1"/>
              </a:solidFill>
              <a:effectLst/>
            </a:rPr>
            <a:t>Janeiro</a:t>
          </a:r>
        </a:p>
      </xdr:txBody>
    </xdr:sp>
    <xdr:clientData/>
  </xdr:twoCellAnchor>
  <xdr:twoCellAnchor>
    <xdr:from>
      <xdr:col>6</xdr:col>
      <xdr:colOff>381232</xdr:colOff>
      <xdr:row>0</xdr:row>
      <xdr:rowOff>331052</xdr:rowOff>
    </xdr:from>
    <xdr:to>
      <xdr:col>7</xdr:col>
      <xdr:colOff>584569</xdr:colOff>
      <xdr:row>2</xdr:row>
      <xdr:rowOff>56629</xdr:rowOff>
    </xdr:to>
    <xdr:sp macro="" textlink="">
      <xdr:nvSpPr>
        <xdr:cNvPr id="3" name="Retângulo 2">
          <a:extLst>
            <a:ext uri="{FF2B5EF4-FFF2-40B4-BE49-F238E27FC236}">
              <a16:creationId xmlns:a16="http://schemas.microsoft.com/office/drawing/2014/main" id="{B6BF092A-9B32-4487-BA4F-661FA4304426}"/>
            </a:ext>
          </a:extLst>
        </xdr:cNvPr>
        <xdr:cNvSpPr/>
      </xdr:nvSpPr>
      <xdr:spPr>
        <a:xfrm>
          <a:off x="8314860" y="331052"/>
          <a:ext cx="1934099" cy="399297"/>
        </a:xfrm>
        <a:prstGeom prst="rect">
          <a:avLst/>
        </a:prstGeom>
        <a:noFill/>
        <a:ln>
          <a:noFill/>
        </a:ln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pt-BR" sz="1800" b="1">
              <a:solidFill>
                <a:schemeClr val="bg1"/>
              </a:solidFill>
            </a:rPr>
            <a:t>Fevereiro</a:t>
          </a:r>
        </a:p>
      </xdr:txBody>
    </xdr:sp>
    <xdr:clientData/>
  </xdr:twoCellAnchor>
  <xdr:twoCellAnchor>
    <xdr:from>
      <xdr:col>3</xdr:col>
      <xdr:colOff>329592</xdr:colOff>
      <xdr:row>3</xdr:row>
      <xdr:rowOff>160069</xdr:rowOff>
    </xdr:from>
    <xdr:to>
      <xdr:col>6</xdr:col>
      <xdr:colOff>568879</xdr:colOff>
      <xdr:row>18</xdr:row>
      <xdr:rowOff>44841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629C8BFC-3964-42ED-BF96-AADABA7F17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677526</xdr:colOff>
      <xdr:row>3</xdr:row>
      <xdr:rowOff>172616</xdr:rowOff>
    </xdr:from>
    <xdr:to>
      <xdr:col>9</xdr:col>
      <xdr:colOff>371708</xdr:colOff>
      <xdr:row>18</xdr:row>
      <xdr:rowOff>45770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CA33E1EE-B11D-4478-B01F-2F7D637FDB9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</xdr:col>
      <xdr:colOff>1198653</xdr:colOff>
      <xdr:row>22</xdr:row>
      <xdr:rowOff>60819</xdr:rowOff>
    </xdr:from>
    <xdr:to>
      <xdr:col>4</xdr:col>
      <xdr:colOff>1615518</xdr:colOff>
      <xdr:row>23</xdr:row>
      <xdr:rowOff>128427</xdr:rowOff>
    </xdr:to>
    <xdr:sp macro="[0]!DespesasFev" textlink="">
      <xdr:nvSpPr>
        <xdr:cNvPr id="6" name="CaixaDeTexto 5">
          <a:extLst>
            <a:ext uri="{FF2B5EF4-FFF2-40B4-BE49-F238E27FC236}">
              <a16:creationId xmlns:a16="http://schemas.microsoft.com/office/drawing/2014/main" id="{62BB7FEC-E676-4900-9505-FD85D67EE569}"/>
            </a:ext>
          </a:extLst>
        </xdr:cNvPr>
        <xdr:cNvSpPr txBox="1"/>
      </xdr:nvSpPr>
      <xdr:spPr>
        <a:xfrm>
          <a:off x="4799103" y="4766169"/>
          <a:ext cx="1626540" cy="258108"/>
        </a:xfrm>
        <a:prstGeom prst="rect">
          <a:avLst/>
        </a:prstGeom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1100"/>
            <a:t>Inserir</a:t>
          </a:r>
          <a:r>
            <a:rPr lang="pt-BR" sz="1100" baseline="0"/>
            <a:t> Despesas</a:t>
          </a:r>
          <a:endParaRPr lang="pt-BR" sz="1100"/>
        </a:p>
      </xdr:txBody>
    </xdr:sp>
    <xdr:clientData/>
  </xdr:twoCellAnchor>
  <xdr:twoCellAnchor>
    <xdr:from>
      <xdr:col>0</xdr:col>
      <xdr:colOff>50066</xdr:colOff>
      <xdr:row>22</xdr:row>
      <xdr:rowOff>19577</xdr:rowOff>
    </xdr:from>
    <xdr:to>
      <xdr:col>0</xdr:col>
      <xdr:colOff>1359186</xdr:colOff>
      <xdr:row>23</xdr:row>
      <xdr:rowOff>104542</xdr:rowOff>
    </xdr:to>
    <xdr:sp macro="[0]!InserirRenda" textlink="">
      <xdr:nvSpPr>
        <xdr:cNvPr id="8" name="CaixaDeTexto 7">
          <a:extLst>
            <a:ext uri="{FF2B5EF4-FFF2-40B4-BE49-F238E27FC236}">
              <a16:creationId xmlns:a16="http://schemas.microsoft.com/office/drawing/2014/main" id="{0D201E43-0F34-431D-AA6E-EA08D83E612C}"/>
            </a:ext>
          </a:extLst>
        </xdr:cNvPr>
        <xdr:cNvSpPr txBox="1"/>
      </xdr:nvSpPr>
      <xdr:spPr>
        <a:xfrm>
          <a:off x="50066" y="4724927"/>
          <a:ext cx="1309120" cy="275465"/>
        </a:xfrm>
        <a:prstGeom prst="rect">
          <a:avLst/>
        </a:prstGeom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/>
            <a:t>Inserir</a:t>
          </a:r>
          <a:r>
            <a:rPr lang="pt-BR" sz="1100" baseline="0"/>
            <a:t> Renda Extra</a:t>
          </a:r>
          <a:endParaRPr lang="pt-BR" sz="1100"/>
        </a:p>
      </xdr:txBody>
    </xdr:sp>
    <xdr:clientData/>
  </xdr:twoCellAnchor>
  <xdr:twoCellAnchor>
    <xdr:from>
      <xdr:col>0</xdr:col>
      <xdr:colOff>46464</xdr:colOff>
      <xdr:row>37</xdr:row>
      <xdr:rowOff>162620</xdr:rowOff>
    </xdr:from>
    <xdr:to>
      <xdr:col>0</xdr:col>
      <xdr:colOff>942460</xdr:colOff>
      <xdr:row>39</xdr:row>
      <xdr:rowOff>47532</xdr:rowOff>
    </xdr:to>
    <xdr:sp macro="[0]!LazerFev" textlink="">
      <xdr:nvSpPr>
        <xdr:cNvPr id="10" name="CaixaDeTexto 9">
          <a:extLst>
            <a:ext uri="{FF2B5EF4-FFF2-40B4-BE49-F238E27FC236}">
              <a16:creationId xmlns:a16="http://schemas.microsoft.com/office/drawing/2014/main" id="{13D0D2D0-2684-4BA9-9112-91EB5B3E2F88}"/>
            </a:ext>
          </a:extLst>
        </xdr:cNvPr>
        <xdr:cNvSpPr txBox="1"/>
      </xdr:nvSpPr>
      <xdr:spPr>
        <a:xfrm>
          <a:off x="46464" y="7619998"/>
          <a:ext cx="895996" cy="256619"/>
        </a:xfrm>
        <a:prstGeom prst="rect">
          <a:avLst/>
        </a:prstGeom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/>
            <a:t>Inserir</a:t>
          </a:r>
          <a:r>
            <a:rPr lang="pt-BR" sz="1100" baseline="0"/>
            <a:t> Lazer </a:t>
          </a:r>
          <a:endParaRPr lang="pt-BR" sz="1100"/>
        </a:p>
      </xdr:txBody>
    </xdr:sp>
    <xdr:clientData/>
  </xdr:twoCellAnchor>
  <xdr:twoCellAnchor>
    <xdr:from>
      <xdr:col>4</xdr:col>
      <xdr:colOff>22499</xdr:colOff>
      <xdr:row>37</xdr:row>
      <xdr:rowOff>23483</xdr:rowOff>
    </xdr:from>
    <xdr:to>
      <xdr:col>4</xdr:col>
      <xdr:colOff>1335091</xdr:colOff>
      <xdr:row>38</xdr:row>
      <xdr:rowOff>108537</xdr:rowOff>
    </xdr:to>
    <xdr:sp macro="[0]!ComprasFev" textlink="">
      <xdr:nvSpPr>
        <xdr:cNvPr id="12" name="CaixaDeTexto 11">
          <a:extLst>
            <a:ext uri="{FF2B5EF4-FFF2-40B4-BE49-F238E27FC236}">
              <a16:creationId xmlns:a16="http://schemas.microsoft.com/office/drawing/2014/main" id="{7C6CB3CA-212E-4784-B1B7-C60159B17968}"/>
            </a:ext>
          </a:extLst>
        </xdr:cNvPr>
        <xdr:cNvSpPr txBox="1"/>
      </xdr:nvSpPr>
      <xdr:spPr>
        <a:xfrm>
          <a:off x="4831462" y="7666715"/>
          <a:ext cx="1312592" cy="270907"/>
        </a:xfrm>
        <a:prstGeom prst="rect">
          <a:avLst/>
        </a:prstGeom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/>
            <a:t>Inserir</a:t>
          </a:r>
          <a:r>
            <a:rPr lang="pt-BR" sz="1100" baseline="0"/>
            <a:t> Compra</a:t>
          </a:r>
          <a:endParaRPr lang="pt-BR" sz="1100"/>
        </a:p>
      </xdr:txBody>
    </xdr:sp>
    <xdr:clientData/>
  </xdr:twoCellAnchor>
  <xdr:twoCellAnchor>
    <xdr:from>
      <xdr:col>4</xdr:col>
      <xdr:colOff>43905</xdr:colOff>
      <xdr:row>29</xdr:row>
      <xdr:rowOff>70679</xdr:rowOff>
    </xdr:from>
    <xdr:to>
      <xdr:col>4</xdr:col>
      <xdr:colOff>1356497</xdr:colOff>
      <xdr:row>30</xdr:row>
      <xdr:rowOff>132499</xdr:rowOff>
    </xdr:to>
    <xdr:sp macro="[0]!Despesas2Fev" textlink="">
      <xdr:nvSpPr>
        <xdr:cNvPr id="14" name="CaixaDeTexto 13">
          <a:extLst>
            <a:ext uri="{FF2B5EF4-FFF2-40B4-BE49-F238E27FC236}">
              <a16:creationId xmlns:a16="http://schemas.microsoft.com/office/drawing/2014/main" id="{7FAFA6B1-1FEE-4939-B882-0A60B8E6653A}"/>
            </a:ext>
          </a:extLst>
        </xdr:cNvPr>
        <xdr:cNvSpPr txBox="1"/>
      </xdr:nvSpPr>
      <xdr:spPr>
        <a:xfrm>
          <a:off x="4854030" y="7062029"/>
          <a:ext cx="1312592" cy="261845"/>
        </a:xfrm>
        <a:prstGeom prst="rect">
          <a:avLst/>
        </a:prstGeom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/>
            <a:t>Inserir</a:t>
          </a:r>
          <a:r>
            <a:rPr lang="pt-BR" sz="1100" baseline="0"/>
            <a:t> </a:t>
          </a:r>
          <a:r>
            <a:rPr lang="pt-BR" sz="1050" baseline="0"/>
            <a:t>Despesas</a:t>
          </a:r>
          <a:endParaRPr lang="pt-BR" sz="1100"/>
        </a:p>
      </xdr:txBody>
    </xdr:sp>
    <xdr:clientData/>
  </xdr:twoCellAnchor>
  <xdr:twoCellAnchor>
    <xdr:from>
      <xdr:col>0</xdr:col>
      <xdr:colOff>11616</xdr:colOff>
      <xdr:row>30</xdr:row>
      <xdr:rowOff>99974</xdr:rowOff>
    </xdr:from>
    <xdr:to>
      <xdr:col>0</xdr:col>
      <xdr:colOff>1324208</xdr:colOff>
      <xdr:row>31</xdr:row>
      <xdr:rowOff>138564</xdr:rowOff>
    </xdr:to>
    <xdr:sp macro="[0]!CuidadosFev" textlink="">
      <xdr:nvSpPr>
        <xdr:cNvPr id="16" name="CaixaDeTexto 15">
          <a:extLst>
            <a:ext uri="{FF2B5EF4-FFF2-40B4-BE49-F238E27FC236}">
              <a16:creationId xmlns:a16="http://schemas.microsoft.com/office/drawing/2014/main" id="{90E0790F-DF88-42AB-BCFE-768879FBB475}"/>
            </a:ext>
          </a:extLst>
        </xdr:cNvPr>
        <xdr:cNvSpPr txBox="1"/>
      </xdr:nvSpPr>
      <xdr:spPr>
        <a:xfrm>
          <a:off x="11616" y="6233145"/>
          <a:ext cx="1312592" cy="236059"/>
        </a:xfrm>
        <a:prstGeom prst="rect">
          <a:avLst/>
        </a:prstGeom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200"/>
            <a:t>Inserir</a:t>
          </a:r>
          <a:r>
            <a:rPr lang="pt-BR" sz="1200" baseline="0"/>
            <a:t> </a:t>
          </a:r>
          <a:r>
            <a:rPr lang="pt-BR" sz="1100" baseline="0"/>
            <a:t>Cuidados</a:t>
          </a:r>
          <a:endParaRPr lang="pt-BR" sz="12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142875</xdr:colOff>
      <xdr:row>1</xdr:row>
      <xdr:rowOff>0</xdr:rowOff>
    </xdr:from>
    <xdr:to>
      <xdr:col>8</xdr:col>
      <xdr:colOff>28575</xdr:colOff>
      <xdr:row>1</xdr:row>
      <xdr:rowOff>47625</xdr:rowOff>
    </xdr:to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F7950318-D5DB-426A-B275-C73B398A4471}"/>
            </a:ext>
          </a:extLst>
        </xdr:cNvPr>
        <xdr:cNvSpPr/>
      </xdr:nvSpPr>
      <xdr:spPr>
        <a:xfrm>
          <a:off x="9810750" y="438150"/>
          <a:ext cx="1552575" cy="47625"/>
        </a:xfrm>
        <a:prstGeom prst="rect">
          <a:avLst/>
        </a:prstGeom>
        <a:noFill/>
        <a:ln>
          <a:noFill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800" b="0" cap="none" spc="0">
              <a:ln w="0">
                <a:noFill/>
              </a:ln>
              <a:solidFill>
                <a:schemeClr val="bg1"/>
              </a:solidFill>
              <a:effectLst/>
            </a:rPr>
            <a:t>Janeiro</a:t>
          </a:r>
        </a:p>
      </xdr:txBody>
    </xdr:sp>
    <xdr:clientData/>
  </xdr:twoCellAnchor>
  <xdr:twoCellAnchor>
    <xdr:from>
      <xdr:col>6</xdr:col>
      <xdr:colOff>346385</xdr:colOff>
      <xdr:row>0</xdr:row>
      <xdr:rowOff>319436</xdr:rowOff>
    </xdr:from>
    <xdr:to>
      <xdr:col>7</xdr:col>
      <xdr:colOff>549722</xdr:colOff>
      <xdr:row>2</xdr:row>
      <xdr:rowOff>45013</xdr:rowOff>
    </xdr:to>
    <xdr:sp macro="" textlink="">
      <xdr:nvSpPr>
        <xdr:cNvPr id="3" name="Retângulo 2">
          <a:extLst>
            <a:ext uri="{FF2B5EF4-FFF2-40B4-BE49-F238E27FC236}">
              <a16:creationId xmlns:a16="http://schemas.microsoft.com/office/drawing/2014/main" id="{CCCB5F36-4B6F-4F70-8434-083FED218ED7}"/>
            </a:ext>
          </a:extLst>
        </xdr:cNvPr>
        <xdr:cNvSpPr/>
      </xdr:nvSpPr>
      <xdr:spPr>
        <a:xfrm>
          <a:off x="8280013" y="319436"/>
          <a:ext cx="1934099" cy="399297"/>
        </a:xfrm>
        <a:prstGeom prst="rect">
          <a:avLst/>
        </a:prstGeom>
        <a:noFill/>
        <a:ln>
          <a:noFill/>
        </a:ln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pt-BR" sz="1800" b="1">
              <a:solidFill>
                <a:schemeClr val="bg1"/>
              </a:solidFill>
            </a:rPr>
            <a:t>Março</a:t>
          </a:r>
        </a:p>
      </xdr:txBody>
    </xdr:sp>
    <xdr:clientData/>
  </xdr:twoCellAnchor>
  <xdr:twoCellAnchor>
    <xdr:from>
      <xdr:col>3</xdr:col>
      <xdr:colOff>329592</xdr:colOff>
      <xdr:row>3</xdr:row>
      <xdr:rowOff>160069</xdr:rowOff>
    </xdr:from>
    <xdr:to>
      <xdr:col>6</xdr:col>
      <xdr:colOff>568879</xdr:colOff>
      <xdr:row>18</xdr:row>
      <xdr:rowOff>44841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7F0E1DB7-803D-45B0-9080-C12EA17D6A3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677526</xdr:colOff>
      <xdr:row>3</xdr:row>
      <xdr:rowOff>172616</xdr:rowOff>
    </xdr:from>
    <xdr:to>
      <xdr:col>9</xdr:col>
      <xdr:colOff>371708</xdr:colOff>
      <xdr:row>18</xdr:row>
      <xdr:rowOff>45770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D994A163-A7EA-4FE8-B6A8-4F9E7A4CD6F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</xdr:col>
      <xdr:colOff>1198653</xdr:colOff>
      <xdr:row>22</xdr:row>
      <xdr:rowOff>60819</xdr:rowOff>
    </xdr:from>
    <xdr:to>
      <xdr:col>4</xdr:col>
      <xdr:colOff>1615518</xdr:colOff>
      <xdr:row>23</xdr:row>
      <xdr:rowOff>128427</xdr:rowOff>
    </xdr:to>
    <xdr:sp macro="[0]!DespesasMarço" textlink="">
      <xdr:nvSpPr>
        <xdr:cNvPr id="6" name="CaixaDeTexto 5">
          <a:extLst>
            <a:ext uri="{FF2B5EF4-FFF2-40B4-BE49-F238E27FC236}">
              <a16:creationId xmlns:a16="http://schemas.microsoft.com/office/drawing/2014/main" id="{4987B36F-5196-4C19-A8E8-FC8A15F6E0B6}"/>
            </a:ext>
          </a:extLst>
        </xdr:cNvPr>
        <xdr:cNvSpPr txBox="1"/>
      </xdr:nvSpPr>
      <xdr:spPr>
        <a:xfrm>
          <a:off x="4799103" y="4766169"/>
          <a:ext cx="1626540" cy="258108"/>
        </a:xfrm>
        <a:prstGeom prst="rect">
          <a:avLst/>
        </a:prstGeom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1100"/>
            <a:t>Inserir</a:t>
          </a:r>
          <a:r>
            <a:rPr lang="pt-BR" sz="1100" baseline="0"/>
            <a:t> Despesas</a:t>
          </a:r>
          <a:endParaRPr lang="pt-BR" sz="1100"/>
        </a:p>
      </xdr:txBody>
    </xdr:sp>
    <xdr:clientData/>
  </xdr:twoCellAnchor>
  <xdr:twoCellAnchor>
    <xdr:from>
      <xdr:col>0</xdr:col>
      <xdr:colOff>0</xdr:colOff>
      <xdr:row>22</xdr:row>
      <xdr:rowOff>54425</xdr:rowOff>
    </xdr:from>
    <xdr:to>
      <xdr:col>0</xdr:col>
      <xdr:colOff>1309120</xdr:colOff>
      <xdr:row>23</xdr:row>
      <xdr:rowOff>139390</xdr:rowOff>
    </xdr:to>
    <xdr:sp macro="[0]!RendaMarço" textlink="">
      <xdr:nvSpPr>
        <xdr:cNvPr id="8" name="CaixaDeTexto 7">
          <a:extLst>
            <a:ext uri="{FF2B5EF4-FFF2-40B4-BE49-F238E27FC236}">
              <a16:creationId xmlns:a16="http://schemas.microsoft.com/office/drawing/2014/main" id="{C7C8B390-265E-47DF-91BE-E9AA3656F58E}"/>
            </a:ext>
          </a:extLst>
        </xdr:cNvPr>
        <xdr:cNvSpPr txBox="1"/>
      </xdr:nvSpPr>
      <xdr:spPr>
        <a:xfrm>
          <a:off x="0" y="4700766"/>
          <a:ext cx="1309120" cy="270819"/>
        </a:xfrm>
        <a:prstGeom prst="rect">
          <a:avLst/>
        </a:prstGeom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/>
            <a:t>Inserir</a:t>
          </a:r>
          <a:r>
            <a:rPr lang="pt-BR" sz="1100" baseline="0"/>
            <a:t> Renda Extra</a:t>
          </a:r>
          <a:endParaRPr lang="pt-BR" sz="1100"/>
        </a:p>
      </xdr:txBody>
    </xdr:sp>
    <xdr:clientData/>
  </xdr:twoCellAnchor>
  <xdr:twoCellAnchor>
    <xdr:from>
      <xdr:col>0</xdr:col>
      <xdr:colOff>34848</xdr:colOff>
      <xdr:row>39</xdr:row>
      <xdr:rowOff>23231</xdr:rowOff>
    </xdr:from>
    <xdr:to>
      <xdr:col>0</xdr:col>
      <xdr:colOff>930844</xdr:colOff>
      <xdr:row>40</xdr:row>
      <xdr:rowOff>82382</xdr:rowOff>
    </xdr:to>
    <xdr:sp macro="[0]!Lazermarço" textlink="">
      <xdr:nvSpPr>
        <xdr:cNvPr id="10" name="CaixaDeTexto 9">
          <a:extLst>
            <a:ext uri="{FF2B5EF4-FFF2-40B4-BE49-F238E27FC236}">
              <a16:creationId xmlns:a16="http://schemas.microsoft.com/office/drawing/2014/main" id="{D3F15A6D-F7EE-41BF-93D3-C62FE9B8044E}"/>
            </a:ext>
          </a:extLst>
        </xdr:cNvPr>
        <xdr:cNvSpPr txBox="1"/>
      </xdr:nvSpPr>
      <xdr:spPr>
        <a:xfrm>
          <a:off x="34848" y="7840701"/>
          <a:ext cx="895996" cy="245004"/>
        </a:xfrm>
        <a:prstGeom prst="rect">
          <a:avLst/>
        </a:prstGeom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/>
            <a:t>Inserir</a:t>
          </a:r>
          <a:r>
            <a:rPr lang="pt-BR" sz="1100" baseline="0"/>
            <a:t> Lazer </a:t>
          </a:r>
          <a:endParaRPr lang="pt-BR" sz="1100"/>
        </a:p>
      </xdr:txBody>
    </xdr:sp>
    <xdr:clientData/>
  </xdr:twoCellAnchor>
  <xdr:twoCellAnchor>
    <xdr:from>
      <xdr:col>4</xdr:col>
      <xdr:colOff>57348</xdr:colOff>
      <xdr:row>39</xdr:row>
      <xdr:rowOff>23483</xdr:rowOff>
    </xdr:from>
    <xdr:to>
      <xdr:col>4</xdr:col>
      <xdr:colOff>1369940</xdr:colOff>
      <xdr:row>40</xdr:row>
      <xdr:rowOff>108536</xdr:rowOff>
    </xdr:to>
    <xdr:sp macro="[0]!CompraMarço" textlink="">
      <xdr:nvSpPr>
        <xdr:cNvPr id="12" name="CaixaDeTexto 11">
          <a:extLst>
            <a:ext uri="{FF2B5EF4-FFF2-40B4-BE49-F238E27FC236}">
              <a16:creationId xmlns:a16="http://schemas.microsoft.com/office/drawing/2014/main" id="{58062EDE-70C1-455C-9C41-D332CDD2432A}"/>
            </a:ext>
          </a:extLst>
        </xdr:cNvPr>
        <xdr:cNvSpPr txBox="1"/>
      </xdr:nvSpPr>
      <xdr:spPr>
        <a:xfrm>
          <a:off x="4866311" y="7840953"/>
          <a:ext cx="1312592" cy="270906"/>
        </a:xfrm>
        <a:prstGeom prst="rect">
          <a:avLst/>
        </a:prstGeom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/>
            <a:t>Inserir</a:t>
          </a:r>
          <a:r>
            <a:rPr lang="pt-BR" sz="1100" baseline="0"/>
            <a:t> Compra</a:t>
          </a:r>
          <a:endParaRPr lang="pt-BR" sz="1100"/>
        </a:p>
      </xdr:txBody>
    </xdr:sp>
    <xdr:clientData/>
  </xdr:twoCellAnchor>
  <xdr:twoCellAnchor>
    <xdr:from>
      <xdr:col>4</xdr:col>
      <xdr:colOff>43905</xdr:colOff>
      <xdr:row>30</xdr:row>
      <xdr:rowOff>35831</xdr:rowOff>
    </xdr:from>
    <xdr:to>
      <xdr:col>4</xdr:col>
      <xdr:colOff>1356497</xdr:colOff>
      <xdr:row>31</xdr:row>
      <xdr:rowOff>109268</xdr:rowOff>
    </xdr:to>
    <xdr:sp macro="[0]!Despesas2Março" textlink="">
      <xdr:nvSpPr>
        <xdr:cNvPr id="14" name="CaixaDeTexto 13">
          <a:extLst>
            <a:ext uri="{FF2B5EF4-FFF2-40B4-BE49-F238E27FC236}">
              <a16:creationId xmlns:a16="http://schemas.microsoft.com/office/drawing/2014/main" id="{3A4E37E5-7E39-4FB5-AA43-B888E9A45DF8}"/>
            </a:ext>
          </a:extLst>
        </xdr:cNvPr>
        <xdr:cNvSpPr txBox="1"/>
      </xdr:nvSpPr>
      <xdr:spPr>
        <a:xfrm>
          <a:off x="4852868" y="6180618"/>
          <a:ext cx="1312592" cy="259290"/>
        </a:xfrm>
        <a:prstGeom prst="rect">
          <a:avLst/>
        </a:prstGeom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/>
            <a:t>Inserir</a:t>
          </a:r>
          <a:r>
            <a:rPr lang="pt-BR" sz="1100" baseline="0"/>
            <a:t> </a:t>
          </a:r>
          <a:r>
            <a:rPr lang="pt-BR" sz="1050" baseline="0"/>
            <a:t>Despesas</a:t>
          </a:r>
          <a:endParaRPr lang="pt-BR" sz="1100"/>
        </a:p>
      </xdr:txBody>
    </xdr:sp>
    <xdr:clientData/>
  </xdr:twoCellAnchor>
  <xdr:twoCellAnchor>
    <xdr:from>
      <xdr:col>0</xdr:col>
      <xdr:colOff>34847</xdr:colOff>
      <xdr:row>30</xdr:row>
      <xdr:rowOff>65127</xdr:rowOff>
    </xdr:from>
    <xdr:to>
      <xdr:col>0</xdr:col>
      <xdr:colOff>1173201</xdr:colOff>
      <xdr:row>31</xdr:row>
      <xdr:rowOff>127775</xdr:rowOff>
    </xdr:to>
    <xdr:sp macro="[0]!CuidadosMarço" textlink="">
      <xdr:nvSpPr>
        <xdr:cNvPr id="16" name="CaixaDeTexto 15">
          <a:extLst>
            <a:ext uri="{FF2B5EF4-FFF2-40B4-BE49-F238E27FC236}">
              <a16:creationId xmlns:a16="http://schemas.microsoft.com/office/drawing/2014/main" id="{BF280CFA-2BE0-49F0-B962-7477D4B6058B}"/>
            </a:ext>
          </a:extLst>
        </xdr:cNvPr>
        <xdr:cNvSpPr txBox="1"/>
      </xdr:nvSpPr>
      <xdr:spPr>
        <a:xfrm>
          <a:off x="34847" y="6209914"/>
          <a:ext cx="1138354" cy="248501"/>
        </a:xfrm>
        <a:prstGeom prst="rect">
          <a:avLst/>
        </a:prstGeom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/>
            <a:t>Inserir</a:t>
          </a:r>
          <a:r>
            <a:rPr lang="pt-BR" sz="1100" baseline="0"/>
            <a:t> </a:t>
          </a:r>
          <a:r>
            <a:rPr lang="pt-BR" sz="1050" baseline="0"/>
            <a:t>Cuidados</a:t>
          </a:r>
          <a:endParaRPr lang="pt-BR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142875</xdr:colOff>
      <xdr:row>1</xdr:row>
      <xdr:rowOff>0</xdr:rowOff>
    </xdr:from>
    <xdr:to>
      <xdr:col>8</xdr:col>
      <xdr:colOff>28575</xdr:colOff>
      <xdr:row>1</xdr:row>
      <xdr:rowOff>47625</xdr:rowOff>
    </xdr:to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89F2AD07-AEF0-4E4B-AEC1-858D86E3D389}"/>
            </a:ext>
          </a:extLst>
        </xdr:cNvPr>
        <xdr:cNvSpPr/>
      </xdr:nvSpPr>
      <xdr:spPr>
        <a:xfrm>
          <a:off x="9810750" y="438150"/>
          <a:ext cx="1552575" cy="47625"/>
        </a:xfrm>
        <a:prstGeom prst="rect">
          <a:avLst/>
        </a:prstGeom>
        <a:noFill/>
        <a:ln>
          <a:noFill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800" b="0" cap="none" spc="0">
              <a:ln w="0">
                <a:noFill/>
              </a:ln>
              <a:solidFill>
                <a:schemeClr val="bg1"/>
              </a:solidFill>
              <a:effectLst/>
            </a:rPr>
            <a:t>Janeiro</a:t>
          </a:r>
        </a:p>
      </xdr:txBody>
    </xdr:sp>
    <xdr:clientData/>
  </xdr:twoCellAnchor>
  <xdr:twoCellAnchor>
    <xdr:from>
      <xdr:col>6</xdr:col>
      <xdr:colOff>323153</xdr:colOff>
      <xdr:row>0</xdr:row>
      <xdr:rowOff>365899</xdr:rowOff>
    </xdr:from>
    <xdr:to>
      <xdr:col>7</xdr:col>
      <xdr:colOff>526490</xdr:colOff>
      <xdr:row>2</xdr:row>
      <xdr:rowOff>91476</xdr:rowOff>
    </xdr:to>
    <xdr:sp macro="" textlink="">
      <xdr:nvSpPr>
        <xdr:cNvPr id="3" name="Retângulo 2">
          <a:extLst>
            <a:ext uri="{FF2B5EF4-FFF2-40B4-BE49-F238E27FC236}">
              <a16:creationId xmlns:a16="http://schemas.microsoft.com/office/drawing/2014/main" id="{0F6AE75D-90F4-4F06-B9B3-0487A9DF3E73}"/>
            </a:ext>
          </a:extLst>
        </xdr:cNvPr>
        <xdr:cNvSpPr/>
      </xdr:nvSpPr>
      <xdr:spPr>
        <a:xfrm>
          <a:off x="8256781" y="365899"/>
          <a:ext cx="1934099" cy="399297"/>
        </a:xfrm>
        <a:prstGeom prst="rect">
          <a:avLst/>
        </a:prstGeom>
        <a:noFill/>
        <a:ln>
          <a:noFill/>
        </a:ln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pt-BR" sz="1800" b="1">
              <a:solidFill>
                <a:schemeClr val="bg1"/>
              </a:solidFill>
            </a:rPr>
            <a:t>Abril</a:t>
          </a:r>
        </a:p>
      </xdr:txBody>
    </xdr:sp>
    <xdr:clientData/>
  </xdr:twoCellAnchor>
  <xdr:twoCellAnchor>
    <xdr:from>
      <xdr:col>3</xdr:col>
      <xdr:colOff>329592</xdr:colOff>
      <xdr:row>3</xdr:row>
      <xdr:rowOff>160069</xdr:rowOff>
    </xdr:from>
    <xdr:to>
      <xdr:col>6</xdr:col>
      <xdr:colOff>568879</xdr:colOff>
      <xdr:row>18</xdr:row>
      <xdr:rowOff>44841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EB88C6D0-C697-48E0-855A-18227775566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677526</xdr:colOff>
      <xdr:row>3</xdr:row>
      <xdr:rowOff>172616</xdr:rowOff>
    </xdr:from>
    <xdr:to>
      <xdr:col>9</xdr:col>
      <xdr:colOff>371708</xdr:colOff>
      <xdr:row>18</xdr:row>
      <xdr:rowOff>45770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A4DC0880-4E5D-4402-98B6-B219BB8DE33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</xdr:col>
      <xdr:colOff>1198653</xdr:colOff>
      <xdr:row>22</xdr:row>
      <xdr:rowOff>60819</xdr:rowOff>
    </xdr:from>
    <xdr:to>
      <xdr:col>4</xdr:col>
      <xdr:colOff>1615518</xdr:colOff>
      <xdr:row>23</xdr:row>
      <xdr:rowOff>128427</xdr:rowOff>
    </xdr:to>
    <xdr:sp macro="[0]!DespesasAbril" textlink="">
      <xdr:nvSpPr>
        <xdr:cNvPr id="6" name="CaixaDeTexto 5">
          <a:extLst>
            <a:ext uri="{FF2B5EF4-FFF2-40B4-BE49-F238E27FC236}">
              <a16:creationId xmlns:a16="http://schemas.microsoft.com/office/drawing/2014/main" id="{83FAF025-CD80-4122-BB25-8100801CBACC}"/>
            </a:ext>
          </a:extLst>
        </xdr:cNvPr>
        <xdr:cNvSpPr txBox="1"/>
      </xdr:nvSpPr>
      <xdr:spPr>
        <a:xfrm>
          <a:off x="4799103" y="4766169"/>
          <a:ext cx="1626540" cy="258108"/>
        </a:xfrm>
        <a:prstGeom prst="rect">
          <a:avLst/>
        </a:prstGeom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1100"/>
            <a:t>Inserir</a:t>
          </a:r>
          <a:r>
            <a:rPr lang="pt-BR" sz="1100" baseline="0"/>
            <a:t> Despesas</a:t>
          </a:r>
          <a:endParaRPr lang="pt-BR" sz="1100"/>
        </a:p>
      </xdr:txBody>
    </xdr:sp>
    <xdr:clientData/>
  </xdr:twoCellAnchor>
  <xdr:twoCellAnchor>
    <xdr:from>
      <xdr:col>0</xdr:col>
      <xdr:colOff>50066</xdr:colOff>
      <xdr:row>22</xdr:row>
      <xdr:rowOff>19577</xdr:rowOff>
    </xdr:from>
    <xdr:to>
      <xdr:col>0</xdr:col>
      <xdr:colOff>1359186</xdr:colOff>
      <xdr:row>23</xdr:row>
      <xdr:rowOff>104542</xdr:rowOff>
    </xdr:to>
    <xdr:sp macro="[0]!RendaAbril" textlink="">
      <xdr:nvSpPr>
        <xdr:cNvPr id="8" name="CaixaDeTexto 7">
          <a:extLst>
            <a:ext uri="{FF2B5EF4-FFF2-40B4-BE49-F238E27FC236}">
              <a16:creationId xmlns:a16="http://schemas.microsoft.com/office/drawing/2014/main" id="{6B7C0E18-31A2-4E2A-BAAF-B6B544F5773E}"/>
            </a:ext>
          </a:extLst>
        </xdr:cNvPr>
        <xdr:cNvSpPr txBox="1"/>
      </xdr:nvSpPr>
      <xdr:spPr>
        <a:xfrm>
          <a:off x="50066" y="4724927"/>
          <a:ext cx="1309120" cy="275465"/>
        </a:xfrm>
        <a:prstGeom prst="rect">
          <a:avLst/>
        </a:prstGeom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/>
            <a:t>Inserir</a:t>
          </a:r>
          <a:r>
            <a:rPr lang="pt-BR" sz="1100" baseline="0"/>
            <a:t> Renda Extra</a:t>
          </a:r>
          <a:endParaRPr lang="pt-BR" sz="1100"/>
        </a:p>
      </xdr:txBody>
    </xdr:sp>
    <xdr:clientData/>
  </xdr:twoCellAnchor>
  <xdr:twoCellAnchor>
    <xdr:from>
      <xdr:col>0</xdr:col>
      <xdr:colOff>58079</xdr:colOff>
      <xdr:row>42</xdr:row>
      <xdr:rowOff>81311</xdr:rowOff>
    </xdr:from>
    <xdr:to>
      <xdr:col>0</xdr:col>
      <xdr:colOff>954075</xdr:colOff>
      <xdr:row>43</xdr:row>
      <xdr:rowOff>140461</xdr:rowOff>
    </xdr:to>
    <xdr:sp macro="[0]!LazerAbril" textlink="">
      <xdr:nvSpPr>
        <xdr:cNvPr id="10" name="CaixaDeTexto 9">
          <a:extLst>
            <a:ext uri="{FF2B5EF4-FFF2-40B4-BE49-F238E27FC236}">
              <a16:creationId xmlns:a16="http://schemas.microsoft.com/office/drawing/2014/main" id="{3672B411-1EF9-4772-84A4-58A5E59BCDB7}"/>
            </a:ext>
          </a:extLst>
        </xdr:cNvPr>
        <xdr:cNvSpPr txBox="1"/>
      </xdr:nvSpPr>
      <xdr:spPr>
        <a:xfrm>
          <a:off x="58079" y="8456341"/>
          <a:ext cx="895996" cy="245004"/>
        </a:xfrm>
        <a:prstGeom prst="rect">
          <a:avLst/>
        </a:prstGeom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/>
            <a:t>Inserir</a:t>
          </a:r>
          <a:r>
            <a:rPr lang="pt-BR" sz="1100" baseline="0"/>
            <a:t> Lazer </a:t>
          </a:r>
          <a:endParaRPr lang="pt-BR" sz="1100"/>
        </a:p>
      </xdr:txBody>
    </xdr:sp>
    <xdr:clientData/>
  </xdr:twoCellAnchor>
  <xdr:twoCellAnchor>
    <xdr:from>
      <xdr:col>4</xdr:col>
      <xdr:colOff>22501</xdr:colOff>
      <xdr:row>43</xdr:row>
      <xdr:rowOff>11867</xdr:rowOff>
    </xdr:from>
    <xdr:to>
      <xdr:col>4</xdr:col>
      <xdr:colOff>1335093</xdr:colOff>
      <xdr:row>44</xdr:row>
      <xdr:rowOff>96920</xdr:rowOff>
    </xdr:to>
    <xdr:sp macro="[0]!CompraAbril" textlink="">
      <xdr:nvSpPr>
        <xdr:cNvPr id="12" name="CaixaDeTexto 11">
          <a:extLst>
            <a:ext uri="{FF2B5EF4-FFF2-40B4-BE49-F238E27FC236}">
              <a16:creationId xmlns:a16="http://schemas.microsoft.com/office/drawing/2014/main" id="{A1ADB2C0-B433-4C06-8247-2369C5E9E087}"/>
            </a:ext>
          </a:extLst>
        </xdr:cNvPr>
        <xdr:cNvSpPr txBox="1"/>
      </xdr:nvSpPr>
      <xdr:spPr>
        <a:xfrm>
          <a:off x="4831464" y="8386897"/>
          <a:ext cx="1312592" cy="270907"/>
        </a:xfrm>
        <a:prstGeom prst="rect">
          <a:avLst/>
        </a:prstGeom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/>
            <a:t>Inserir</a:t>
          </a:r>
          <a:r>
            <a:rPr lang="pt-BR" sz="1100" baseline="0"/>
            <a:t> Compra</a:t>
          </a:r>
          <a:endParaRPr lang="pt-BR" sz="1100"/>
        </a:p>
      </xdr:txBody>
    </xdr:sp>
    <xdr:clientData/>
  </xdr:twoCellAnchor>
  <xdr:twoCellAnchor>
    <xdr:from>
      <xdr:col>4</xdr:col>
      <xdr:colOff>9058</xdr:colOff>
      <xdr:row>35</xdr:row>
      <xdr:rowOff>59063</xdr:rowOff>
    </xdr:from>
    <xdr:to>
      <xdr:col>4</xdr:col>
      <xdr:colOff>1321650</xdr:colOff>
      <xdr:row>36</xdr:row>
      <xdr:rowOff>132499</xdr:rowOff>
    </xdr:to>
    <xdr:sp macro="[0]!Despesas2Abril" textlink="">
      <xdr:nvSpPr>
        <xdr:cNvPr id="14" name="CaixaDeTexto 13">
          <a:extLst>
            <a:ext uri="{FF2B5EF4-FFF2-40B4-BE49-F238E27FC236}">
              <a16:creationId xmlns:a16="http://schemas.microsoft.com/office/drawing/2014/main" id="{E981B96F-5501-4F86-A3B6-F2EC5271FEBC}"/>
            </a:ext>
          </a:extLst>
        </xdr:cNvPr>
        <xdr:cNvSpPr txBox="1"/>
      </xdr:nvSpPr>
      <xdr:spPr>
        <a:xfrm>
          <a:off x="4818021" y="7133118"/>
          <a:ext cx="1312592" cy="259290"/>
        </a:xfrm>
        <a:prstGeom prst="rect">
          <a:avLst/>
        </a:prstGeom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/>
            <a:t>Inserir</a:t>
          </a:r>
          <a:r>
            <a:rPr lang="pt-BR" sz="1100" baseline="0"/>
            <a:t> </a:t>
          </a:r>
          <a:r>
            <a:rPr lang="pt-BR" sz="1050" baseline="0"/>
            <a:t>Despesas</a:t>
          </a:r>
          <a:endParaRPr lang="pt-BR" sz="1100"/>
        </a:p>
      </xdr:txBody>
    </xdr:sp>
    <xdr:clientData/>
  </xdr:twoCellAnchor>
  <xdr:twoCellAnchor>
    <xdr:from>
      <xdr:col>0</xdr:col>
      <xdr:colOff>11616</xdr:colOff>
      <xdr:row>34</xdr:row>
      <xdr:rowOff>65127</xdr:rowOff>
    </xdr:from>
    <xdr:to>
      <xdr:col>0</xdr:col>
      <xdr:colOff>1324208</xdr:colOff>
      <xdr:row>35</xdr:row>
      <xdr:rowOff>126947</xdr:rowOff>
    </xdr:to>
    <xdr:sp macro="[0]!CuidadosAbril" textlink="">
      <xdr:nvSpPr>
        <xdr:cNvPr id="16" name="CaixaDeTexto 15">
          <a:extLst>
            <a:ext uri="{FF2B5EF4-FFF2-40B4-BE49-F238E27FC236}">
              <a16:creationId xmlns:a16="http://schemas.microsoft.com/office/drawing/2014/main" id="{EAB8AE06-84AE-4467-9D76-4871588BA0D7}"/>
            </a:ext>
          </a:extLst>
        </xdr:cNvPr>
        <xdr:cNvSpPr txBox="1"/>
      </xdr:nvSpPr>
      <xdr:spPr>
        <a:xfrm>
          <a:off x="11616" y="7139182"/>
          <a:ext cx="1312592" cy="247674"/>
        </a:xfrm>
        <a:prstGeom prst="rect">
          <a:avLst/>
        </a:prstGeom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/>
            <a:t>Inserir</a:t>
          </a:r>
          <a:r>
            <a:rPr lang="pt-BR" sz="1100" baseline="0"/>
            <a:t> </a:t>
          </a:r>
          <a:r>
            <a:rPr lang="pt-BR" sz="1050" baseline="0"/>
            <a:t>Cuidados</a:t>
          </a:r>
          <a:endParaRPr lang="pt-BR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142875</xdr:colOff>
      <xdr:row>1</xdr:row>
      <xdr:rowOff>0</xdr:rowOff>
    </xdr:from>
    <xdr:to>
      <xdr:col>8</xdr:col>
      <xdr:colOff>28575</xdr:colOff>
      <xdr:row>1</xdr:row>
      <xdr:rowOff>47625</xdr:rowOff>
    </xdr:to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A994C9D4-5DC7-45D9-AEC0-1C77C3D436EC}"/>
            </a:ext>
          </a:extLst>
        </xdr:cNvPr>
        <xdr:cNvSpPr/>
      </xdr:nvSpPr>
      <xdr:spPr>
        <a:xfrm>
          <a:off x="9810750" y="438150"/>
          <a:ext cx="1552575" cy="47625"/>
        </a:xfrm>
        <a:prstGeom prst="rect">
          <a:avLst/>
        </a:prstGeom>
        <a:noFill/>
        <a:ln>
          <a:noFill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800" b="0" cap="none" spc="0">
              <a:ln w="0">
                <a:noFill/>
              </a:ln>
              <a:solidFill>
                <a:schemeClr val="bg1"/>
              </a:solidFill>
              <a:effectLst/>
            </a:rPr>
            <a:t>Janeiro</a:t>
          </a:r>
        </a:p>
      </xdr:txBody>
    </xdr:sp>
    <xdr:clientData/>
  </xdr:twoCellAnchor>
  <xdr:twoCellAnchor>
    <xdr:from>
      <xdr:col>6</xdr:col>
      <xdr:colOff>392848</xdr:colOff>
      <xdr:row>0</xdr:row>
      <xdr:rowOff>354283</xdr:rowOff>
    </xdr:from>
    <xdr:to>
      <xdr:col>7</xdr:col>
      <xdr:colOff>596185</xdr:colOff>
      <xdr:row>2</xdr:row>
      <xdr:rowOff>79860</xdr:rowOff>
    </xdr:to>
    <xdr:sp macro="" textlink="">
      <xdr:nvSpPr>
        <xdr:cNvPr id="3" name="Retângulo 2">
          <a:extLst>
            <a:ext uri="{FF2B5EF4-FFF2-40B4-BE49-F238E27FC236}">
              <a16:creationId xmlns:a16="http://schemas.microsoft.com/office/drawing/2014/main" id="{59CFB61B-B5AA-40E2-A719-ACECAAA59417}"/>
            </a:ext>
          </a:extLst>
        </xdr:cNvPr>
        <xdr:cNvSpPr/>
      </xdr:nvSpPr>
      <xdr:spPr>
        <a:xfrm>
          <a:off x="8326476" y="354283"/>
          <a:ext cx="1934099" cy="399297"/>
        </a:xfrm>
        <a:prstGeom prst="rect">
          <a:avLst/>
        </a:prstGeom>
        <a:noFill/>
        <a:ln>
          <a:noFill/>
        </a:ln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pt-BR" sz="1800" b="1">
              <a:solidFill>
                <a:schemeClr val="bg1"/>
              </a:solidFill>
            </a:rPr>
            <a:t>Maio</a:t>
          </a:r>
        </a:p>
      </xdr:txBody>
    </xdr:sp>
    <xdr:clientData/>
  </xdr:twoCellAnchor>
  <xdr:twoCellAnchor>
    <xdr:from>
      <xdr:col>3</xdr:col>
      <xdr:colOff>329592</xdr:colOff>
      <xdr:row>3</xdr:row>
      <xdr:rowOff>160069</xdr:rowOff>
    </xdr:from>
    <xdr:to>
      <xdr:col>6</xdr:col>
      <xdr:colOff>568879</xdr:colOff>
      <xdr:row>18</xdr:row>
      <xdr:rowOff>44841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EA629528-46D3-4851-A338-6788FBDB5FC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677526</xdr:colOff>
      <xdr:row>3</xdr:row>
      <xdr:rowOff>172616</xdr:rowOff>
    </xdr:from>
    <xdr:to>
      <xdr:col>9</xdr:col>
      <xdr:colOff>371708</xdr:colOff>
      <xdr:row>18</xdr:row>
      <xdr:rowOff>45770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C40E32B1-DD0E-4DF2-AC8B-488A2BFC269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</xdr:col>
      <xdr:colOff>1198653</xdr:colOff>
      <xdr:row>22</xdr:row>
      <xdr:rowOff>60819</xdr:rowOff>
    </xdr:from>
    <xdr:to>
      <xdr:col>4</xdr:col>
      <xdr:colOff>1615518</xdr:colOff>
      <xdr:row>23</xdr:row>
      <xdr:rowOff>128427</xdr:rowOff>
    </xdr:to>
    <xdr:sp macro="[0]!DespesaMaio" textlink="">
      <xdr:nvSpPr>
        <xdr:cNvPr id="6" name="CaixaDeTexto 5">
          <a:extLst>
            <a:ext uri="{FF2B5EF4-FFF2-40B4-BE49-F238E27FC236}">
              <a16:creationId xmlns:a16="http://schemas.microsoft.com/office/drawing/2014/main" id="{917ED410-7B87-41E1-B306-829E88637BDA}"/>
            </a:ext>
          </a:extLst>
        </xdr:cNvPr>
        <xdr:cNvSpPr txBox="1"/>
      </xdr:nvSpPr>
      <xdr:spPr>
        <a:xfrm>
          <a:off x="4799103" y="4766169"/>
          <a:ext cx="1626540" cy="258108"/>
        </a:xfrm>
        <a:prstGeom prst="rect">
          <a:avLst/>
        </a:prstGeom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1100"/>
            <a:t>Inserir</a:t>
          </a:r>
          <a:r>
            <a:rPr lang="pt-BR" sz="1100" baseline="0"/>
            <a:t> Despesas</a:t>
          </a:r>
          <a:endParaRPr lang="pt-BR" sz="1100"/>
        </a:p>
      </xdr:txBody>
    </xdr:sp>
    <xdr:clientData/>
  </xdr:twoCellAnchor>
  <xdr:twoCellAnchor>
    <xdr:from>
      <xdr:col>0</xdr:col>
      <xdr:colOff>50066</xdr:colOff>
      <xdr:row>22</xdr:row>
      <xdr:rowOff>19577</xdr:rowOff>
    </xdr:from>
    <xdr:to>
      <xdr:col>0</xdr:col>
      <xdr:colOff>1359186</xdr:colOff>
      <xdr:row>23</xdr:row>
      <xdr:rowOff>104542</xdr:rowOff>
    </xdr:to>
    <xdr:sp macro="[0]!RendaMaio" textlink="">
      <xdr:nvSpPr>
        <xdr:cNvPr id="8" name="CaixaDeTexto 7">
          <a:extLst>
            <a:ext uri="{FF2B5EF4-FFF2-40B4-BE49-F238E27FC236}">
              <a16:creationId xmlns:a16="http://schemas.microsoft.com/office/drawing/2014/main" id="{2353FE12-3008-44AE-8305-7C7C2DF71E21}"/>
            </a:ext>
          </a:extLst>
        </xdr:cNvPr>
        <xdr:cNvSpPr txBox="1"/>
      </xdr:nvSpPr>
      <xdr:spPr>
        <a:xfrm>
          <a:off x="50066" y="4724927"/>
          <a:ext cx="1309120" cy="275465"/>
        </a:xfrm>
        <a:prstGeom prst="rect">
          <a:avLst/>
        </a:prstGeom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/>
            <a:t>Inserir</a:t>
          </a:r>
          <a:r>
            <a:rPr lang="pt-BR" sz="1100" baseline="0"/>
            <a:t> Renda Extra</a:t>
          </a:r>
          <a:endParaRPr lang="pt-BR" sz="1100"/>
        </a:p>
      </xdr:txBody>
    </xdr:sp>
    <xdr:clientData/>
  </xdr:twoCellAnchor>
  <xdr:twoCellAnchor>
    <xdr:from>
      <xdr:col>0</xdr:col>
      <xdr:colOff>69696</xdr:colOff>
      <xdr:row>42</xdr:row>
      <xdr:rowOff>34848</xdr:rowOff>
    </xdr:from>
    <xdr:to>
      <xdr:col>0</xdr:col>
      <xdr:colOff>965692</xdr:colOff>
      <xdr:row>43</xdr:row>
      <xdr:rowOff>93998</xdr:rowOff>
    </xdr:to>
    <xdr:sp macro="[0]!LazerMaio" textlink="">
      <xdr:nvSpPr>
        <xdr:cNvPr id="10" name="CaixaDeTexto 9">
          <a:extLst>
            <a:ext uri="{FF2B5EF4-FFF2-40B4-BE49-F238E27FC236}">
              <a16:creationId xmlns:a16="http://schemas.microsoft.com/office/drawing/2014/main" id="{D2BFB083-A379-4439-81D4-0ED242E0B4D3}"/>
            </a:ext>
          </a:extLst>
        </xdr:cNvPr>
        <xdr:cNvSpPr txBox="1"/>
      </xdr:nvSpPr>
      <xdr:spPr>
        <a:xfrm>
          <a:off x="69696" y="8409878"/>
          <a:ext cx="895996" cy="245004"/>
        </a:xfrm>
        <a:prstGeom prst="rect">
          <a:avLst/>
        </a:prstGeom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/>
            <a:t>Inserir</a:t>
          </a:r>
          <a:r>
            <a:rPr lang="pt-BR" sz="1100" baseline="0"/>
            <a:t> Lazer </a:t>
          </a:r>
          <a:endParaRPr lang="pt-BR" sz="1100"/>
        </a:p>
      </xdr:txBody>
    </xdr:sp>
    <xdr:clientData/>
  </xdr:twoCellAnchor>
  <xdr:twoCellAnchor>
    <xdr:from>
      <xdr:col>4</xdr:col>
      <xdr:colOff>10885</xdr:colOff>
      <xdr:row>42</xdr:row>
      <xdr:rowOff>58332</xdr:rowOff>
    </xdr:from>
    <xdr:to>
      <xdr:col>4</xdr:col>
      <xdr:colOff>1323477</xdr:colOff>
      <xdr:row>43</xdr:row>
      <xdr:rowOff>155000</xdr:rowOff>
    </xdr:to>
    <xdr:sp macro="[0]!ComprasMaio" textlink="">
      <xdr:nvSpPr>
        <xdr:cNvPr id="12" name="CaixaDeTexto 11">
          <a:extLst>
            <a:ext uri="{FF2B5EF4-FFF2-40B4-BE49-F238E27FC236}">
              <a16:creationId xmlns:a16="http://schemas.microsoft.com/office/drawing/2014/main" id="{3A1F5FA3-8247-4C36-A1AF-3D6B9E856638}"/>
            </a:ext>
          </a:extLst>
        </xdr:cNvPr>
        <xdr:cNvSpPr txBox="1"/>
      </xdr:nvSpPr>
      <xdr:spPr>
        <a:xfrm>
          <a:off x="4819848" y="8433362"/>
          <a:ext cx="1312592" cy="282522"/>
        </a:xfrm>
        <a:prstGeom prst="rect">
          <a:avLst/>
        </a:prstGeom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/>
            <a:t>Inserir</a:t>
          </a:r>
          <a:r>
            <a:rPr lang="pt-BR" sz="1100" baseline="0"/>
            <a:t> Compra</a:t>
          </a:r>
          <a:endParaRPr lang="pt-BR" sz="1100"/>
        </a:p>
      </xdr:txBody>
    </xdr:sp>
    <xdr:clientData/>
  </xdr:twoCellAnchor>
  <xdr:twoCellAnchor>
    <xdr:from>
      <xdr:col>4</xdr:col>
      <xdr:colOff>43905</xdr:colOff>
      <xdr:row>34</xdr:row>
      <xdr:rowOff>70679</xdr:rowOff>
    </xdr:from>
    <xdr:to>
      <xdr:col>4</xdr:col>
      <xdr:colOff>1356497</xdr:colOff>
      <xdr:row>35</xdr:row>
      <xdr:rowOff>132499</xdr:rowOff>
    </xdr:to>
    <xdr:sp macro="Despesas2Maio" textlink="">
      <xdr:nvSpPr>
        <xdr:cNvPr id="14" name="CaixaDeTexto 13">
          <a:extLst>
            <a:ext uri="{FF2B5EF4-FFF2-40B4-BE49-F238E27FC236}">
              <a16:creationId xmlns:a16="http://schemas.microsoft.com/office/drawing/2014/main" id="{F1D60F69-0892-4CAA-93CA-6BE6A37D7085}"/>
            </a:ext>
          </a:extLst>
        </xdr:cNvPr>
        <xdr:cNvSpPr txBox="1"/>
      </xdr:nvSpPr>
      <xdr:spPr>
        <a:xfrm>
          <a:off x="4854030" y="7062029"/>
          <a:ext cx="1312592" cy="261845"/>
        </a:xfrm>
        <a:prstGeom prst="rect">
          <a:avLst/>
        </a:prstGeom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200"/>
            <a:t>Inserir</a:t>
          </a:r>
          <a:r>
            <a:rPr lang="pt-BR" sz="1100" baseline="0"/>
            <a:t> Despesas</a:t>
          </a:r>
          <a:endParaRPr lang="pt-BR" sz="1100"/>
        </a:p>
      </xdr:txBody>
    </xdr:sp>
    <xdr:clientData/>
  </xdr:twoCellAnchor>
  <xdr:twoCellAnchor>
    <xdr:from>
      <xdr:col>0</xdr:col>
      <xdr:colOff>58080</xdr:colOff>
      <xdr:row>33</xdr:row>
      <xdr:rowOff>65128</xdr:rowOff>
    </xdr:from>
    <xdr:to>
      <xdr:col>0</xdr:col>
      <xdr:colOff>1370672</xdr:colOff>
      <xdr:row>34</xdr:row>
      <xdr:rowOff>115332</xdr:rowOff>
    </xdr:to>
    <xdr:sp macro="[0]!CuidadosMaio" textlink="">
      <xdr:nvSpPr>
        <xdr:cNvPr id="16" name="CaixaDeTexto 15">
          <a:extLst>
            <a:ext uri="{FF2B5EF4-FFF2-40B4-BE49-F238E27FC236}">
              <a16:creationId xmlns:a16="http://schemas.microsoft.com/office/drawing/2014/main" id="{2126521A-F117-410D-9870-9D6BA47D3885}"/>
            </a:ext>
          </a:extLst>
        </xdr:cNvPr>
        <xdr:cNvSpPr txBox="1"/>
      </xdr:nvSpPr>
      <xdr:spPr>
        <a:xfrm>
          <a:off x="58080" y="6755860"/>
          <a:ext cx="1312592" cy="236057"/>
        </a:xfrm>
        <a:prstGeom prst="rect">
          <a:avLst/>
        </a:prstGeom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/>
            <a:t>Inserir</a:t>
          </a:r>
          <a:r>
            <a:rPr lang="pt-BR" sz="1100" baseline="0"/>
            <a:t> </a:t>
          </a:r>
          <a:r>
            <a:rPr lang="pt-BR" sz="1050" baseline="0"/>
            <a:t>Cuidados</a:t>
          </a:r>
          <a:endParaRPr lang="pt-BR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142875</xdr:colOff>
      <xdr:row>1</xdr:row>
      <xdr:rowOff>0</xdr:rowOff>
    </xdr:from>
    <xdr:to>
      <xdr:col>8</xdr:col>
      <xdr:colOff>28575</xdr:colOff>
      <xdr:row>1</xdr:row>
      <xdr:rowOff>47625</xdr:rowOff>
    </xdr:to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7D9B91B9-1718-4831-B69B-C901FB4C9A07}"/>
            </a:ext>
          </a:extLst>
        </xdr:cNvPr>
        <xdr:cNvSpPr/>
      </xdr:nvSpPr>
      <xdr:spPr>
        <a:xfrm>
          <a:off x="9810750" y="438150"/>
          <a:ext cx="1552575" cy="47625"/>
        </a:xfrm>
        <a:prstGeom prst="rect">
          <a:avLst/>
        </a:prstGeom>
        <a:noFill/>
        <a:ln>
          <a:noFill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800" b="0" cap="none" spc="0">
              <a:ln w="0">
                <a:noFill/>
              </a:ln>
              <a:solidFill>
                <a:schemeClr val="bg1"/>
              </a:solidFill>
              <a:effectLst/>
            </a:rPr>
            <a:t>Janeiro</a:t>
          </a:r>
        </a:p>
      </xdr:txBody>
    </xdr:sp>
    <xdr:clientData/>
  </xdr:twoCellAnchor>
  <xdr:twoCellAnchor>
    <xdr:from>
      <xdr:col>6</xdr:col>
      <xdr:colOff>404464</xdr:colOff>
      <xdr:row>0</xdr:row>
      <xdr:rowOff>331052</xdr:rowOff>
    </xdr:from>
    <xdr:to>
      <xdr:col>7</xdr:col>
      <xdr:colOff>607801</xdr:colOff>
      <xdr:row>2</xdr:row>
      <xdr:rowOff>56629</xdr:rowOff>
    </xdr:to>
    <xdr:sp macro="" textlink="">
      <xdr:nvSpPr>
        <xdr:cNvPr id="3" name="Retângulo 2">
          <a:extLst>
            <a:ext uri="{FF2B5EF4-FFF2-40B4-BE49-F238E27FC236}">
              <a16:creationId xmlns:a16="http://schemas.microsoft.com/office/drawing/2014/main" id="{D67068B0-7A4E-4891-80B1-2FCB5572C288}"/>
            </a:ext>
          </a:extLst>
        </xdr:cNvPr>
        <xdr:cNvSpPr/>
      </xdr:nvSpPr>
      <xdr:spPr>
        <a:xfrm>
          <a:off x="8338092" y="331052"/>
          <a:ext cx="1934099" cy="399297"/>
        </a:xfrm>
        <a:prstGeom prst="rect">
          <a:avLst/>
        </a:prstGeom>
        <a:noFill/>
        <a:ln>
          <a:noFill/>
        </a:ln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pt-BR" sz="1800" b="1">
              <a:solidFill>
                <a:schemeClr val="bg1"/>
              </a:solidFill>
            </a:rPr>
            <a:t>Junho</a:t>
          </a:r>
        </a:p>
      </xdr:txBody>
    </xdr:sp>
    <xdr:clientData/>
  </xdr:twoCellAnchor>
  <xdr:twoCellAnchor>
    <xdr:from>
      <xdr:col>3</xdr:col>
      <xdr:colOff>329592</xdr:colOff>
      <xdr:row>3</xdr:row>
      <xdr:rowOff>160069</xdr:rowOff>
    </xdr:from>
    <xdr:to>
      <xdr:col>6</xdr:col>
      <xdr:colOff>568879</xdr:colOff>
      <xdr:row>18</xdr:row>
      <xdr:rowOff>44841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AD70E15E-4F35-458C-9697-25C42EE8742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677526</xdr:colOff>
      <xdr:row>3</xdr:row>
      <xdr:rowOff>172616</xdr:rowOff>
    </xdr:from>
    <xdr:to>
      <xdr:col>9</xdr:col>
      <xdr:colOff>371708</xdr:colOff>
      <xdr:row>18</xdr:row>
      <xdr:rowOff>45770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64B39F74-3F0C-4AF4-A85C-6CA3F20C1CE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</xdr:col>
      <xdr:colOff>1198653</xdr:colOff>
      <xdr:row>22</xdr:row>
      <xdr:rowOff>60819</xdr:rowOff>
    </xdr:from>
    <xdr:to>
      <xdr:col>4</xdr:col>
      <xdr:colOff>1615518</xdr:colOff>
      <xdr:row>23</xdr:row>
      <xdr:rowOff>128427</xdr:rowOff>
    </xdr:to>
    <xdr:sp macro="[0]!DespesasJun" textlink="">
      <xdr:nvSpPr>
        <xdr:cNvPr id="6" name="CaixaDeTexto 5">
          <a:extLst>
            <a:ext uri="{FF2B5EF4-FFF2-40B4-BE49-F238E27FC236}">
              <a16:creationId xmlns:a16="http://schemas.microsoft.com/office/drawing/2014/main" id="{91045F8F-AC3B-4294-BA12-89A88708175F}"/>
            </a:ext>
          </a:extLst>
        </xdr:cNvPr>
        <xdr:cNvSpPr txBox="1"/>
      </xdr:nvSpPr>
      <xdr:spPr>
        <a:xfrm>
          <a:off x="4799103" y="4766169"/>
          <a:ext cx="1626540" cy="258108"/>
        </a:xfrm>
        <a:prstGeom prst="rect">
          <a:avLst/>
        </a:prstGeom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1100"/>
            <a:t>Inserir</a:t>
          </a:r>
          <a:r>
            <a:rPr lang="pt-BR" sz="1100" baseline="0"/>
            <a:t> Despesas</a:t>
          </a:r>
          <a:endParaRPr lang="pt-BR" sz="1100"/>
        </a:p>
      </xdr:txBody>
    </xdr:sp>
    <xdr:clientData/>
  </xdr:twoCellAnchor>
  <xdr:twoCellAnchor>
    <xdr:from>
      <xdr:col>0</xdr:col>
      <xdr:colOff>84914</xdr:colOff>
      <xdr:row>22</xdr:row>
      <xdr:rowOff>19577</xdr:rowOff>
    </xdr:from>
    <xdr:to>
      <xdr:col>0</xdr:col>
      <xdr:colOff>1394034</xdr:colOff>
      <xdr:row>23</xdr:row>
      <xdr:rowOff>104542</xdr:rowOff>
    </xdr:to>
    <xdr:sp macro="[0]!RendaJun" textlink="">
      <xdr:nvSpPr>
        <xdr:cNvPr id="8" name="CaixaDeTexto 7">
          <a:extLst>
            <a:ext uri="{FF2B5EF4-FFF2-40B4-BE49-F238E27FC236}">
              <a16:creationId xmlns:a16="http://schemas.microsoft.com/office/drawing/2014/main" id="{AEBC3485-D184-4A49-8E50-36E0EFBB02F6}"/>
            </a:ext>
          </a:extLst>
        </xdr:cNvPr>
        <xdr:cNvSpPr txBox="1"/>
      </xdr:nvSpPr>
      <xdr:spPr>
        <a:xfrm>
          <a:off x="84914" y="4665918"/>
          <a:ext cx="1309120" cy="270819"/>
        </a:xfrm>
        <a:prstGeom prst="rect">
          <a:avLst/>
        </a:prstGeom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/>
            <a:t>Inserir</a:t>
          </a:r>
          <a:r>
            <a:rPr lang="pt-BR" sz="1100" baseline="0"/>
            <a:t> Renda Extra</a:t>
          </a:r>
          <a:endParaRPr lang="pt-BR" sz="1100"/>
        </a:p>
      </xdr:txBody>
    </xdr:sp>
    <xdr:clientData/>
  </xdr:twoCellAnchor>
  <xdr:twoCellAnchor>
    <xdr:from>
      <xdr:col>0</xdr:col>
      <xdr:colOff>92927</xdr:colOff>
      <xdr:row>42</xdr:row>
      <xdr:rowOff>69695</xdr:rowOff>
    </xdr:from>
    <xdr:to>
      <xdr:col>0</xdr:col>
      <xdr:colOff>988923</xdr:colOff>
      <xdr:row>43</xdr:row>
      <xdr:rowOff>128845</xdr:rowOff>
    </xdr:to>
    <xdr:sp macro="[0]!InserirLazer" textlink="">
      <xdr:nvSpPr>
        <xdr:cNvPr id="10" name="CaixaDeTexto 9">
          <a:extLst>
            <a:ext uri="{FF2B5EF4-FFF2-40B4-BE49-F238E27FC236}">
              <a16:creationId xmlns:a16="http://schemas.microsoft.com/office/drawing/2014/main" id="{D34AFE35-911A-4C64-A97A-9F3F57C4BBA8}"/>
            </a:ext>
          </a:extLst>
        </xdr:cNvPr>
        <xdr:cNvSpPr txBox="1"/>
      </xdr:nvSpPr>
      <xdr:spPr>
        <a:xfrm>
          <a:off x="92927" y="8444725"/>
          <a:ext cx="895996" cy="245004"/>
        </a:xfrm>
        <a:prstGeom prst="rect">
          <a:avLst/>
        </a:prstGeom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/>
            <a:t>Inserir</a:t>
          </a:r>
          <a:r>
            <a:rPr lang="pt-BR" sz="1100" baseline="0"/>
            <a:t> Lazer </a:t>
          </a:r>
          <a:endParaRPr lang="pt-BR" sz="1100"/>
        </a:p>
      </xdr:txBody>
    </xdr:sp>
    <xdr:clientData/>
  </xdr:twoCellAnchor>
  <xdr:twoCellAnchor>
    <xdr:from>
      <xdr:col>3</xdr:col>
      <xdr:colOff>1195700</xdr:colOff>
      <xdr:row>41</xdr:row>
      <xdr:rowOff>174489</xdr:rowOff>
    </xdr:from>
    <xdr:to>
      <xdr:col>4</xdr:col>
      <xdr:colOff>1300244</xdr:colOff>
      <xdr:row>43</xdr:row>
      <xdr:rowOff>73688</xdr:rowOff>
    </xdr:to>
    <xdr:sp macro="[0]!CompraJun" textlink="">
      <xdr:nvSpPr>
        <xdr:cNvPr id="12" name="CaixaDeTexto 11">
          <a:extLst>
            <a:ext uri="{FF2B5EF4-FFF2-40B4-BE49-F238E27FC236}">
              <a16:creationId xmlns:a16="http://schemas.microsoft.com/office/drawing/2014/main" id="{DAADC28D-EB50-48DA-9190-79AB7EACB771}"/>
            </a:ext>
          </a:extLst>
        </xdr:cNvPr>
        <xdr:cNvSpPr txBox="1"/>
      </xdr:nvSpPr>
      <xdr:spPr>
        <a:xfrm>
          <a:off x="4796615" y="8363666"/>
          <a:ext cx="1312592" cy="270906"/>
        </a:xfrm>
        <a:prstGeom prst="rect">
          <a:avLst/>
        </a:prstGeom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/>
            <a:t>Inserir</a:t>
          </a:r>
          <a:r>
            <a:rPr lang="pt-BR" sz="1100" baseline="0"/>
            <a:t> Compra</a:t>
          </a:r>
          <a:endParaRPr lang="pt-BR" sz="1100"/>
        </a:p>
      </xdr:txBody>
    </xdr:sp>
    <xdr:clientData/>
  </xdr:twoCellAnchor>
  <xdr:twoCellAnchor>
    <xdr:from>
      <xdr:col>4</xdr:col>
      <xdr:colOff>43905</xdr:colOff>
      <xdr:row>34</xdr:row>
      <xdr:rowOff>70679</xdr:rowOff>
    </xdr:from>
    <xdr:to>
      <xdr:col>4</xdr:col>
      <xdr:colOff>1356497</xdr:colOff>
      <xdr:row>35</xdr:row>
      <xdr:rowOff>132499</xdr:rowOff>
    </xdr:to>
    <xdr:sp macro="[0]!Despesas2Jun" textlink="">
      <xdr:nvSpPr>
        <xdr:cNvPr id="14" name="CaixaDeTexto 13">
          <a:extLst>
            <a:ext uri="{FF2B5EF4-FFF2-40B4-BE49-F238E27FC236}">
              <a16:creationId xmlns:a16="http://schemas.microsoft.com/office/drawing/2014/main" id="{D60D5D89-17E0-4D74-AFA4-7A4C6A30CCF5}"/>
            </a:ext>
          </a:extLst>
        </xdr:cNvPr>
        <xdr:cNvSpPr txBox="1"/>
      </xdr:nvSpPr>
      <xdr:spPr>
        <a:xfrm>
          <a:off x="4854030" y="7062029"/>
          <a:ext cx="1312592" cy="261845"/>
        </a:xfrm>
        <a:prstGeom prst="rect">
          <a:avLst/>
        </a:prstGeom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/>
            <a:t>Inserir</a:t>
          </a:r>
          <a:r>
            <a:rPr lang="pt-BR" sz="1100" baseline="0"/>
            <a:t> </a:t>
          </a:r>
          <a:r>
            <a:rPr lang="pt-BR" sz="1050" baseline="0"/>
            <a:t>Despesas</a:t>
          </a:r>
          <a:endParaRPr lang="pt-BR" sz="1100"/>
        </a:p>
      </xdr:txBody>
    </xdr:sp>
    <xdr:clientData/>
  </xdr:twoCellAnchor>
  <xdr:twoCellAnchor>
    <xdr:from>
      <xdr:col>0</xdr:col>
      <xdr:colOff>69696</xdr:colOff>
      <xdr:row>34</xdr:row>
      <xdr:rowOff>41895</xdr:rowOff>
    </xdr:from>
    <xdr:to>
      <xdr:col>0</xdr:col>
      <xdr:colOff>1382288</xdr:colOff>
      <xdr:row>35</xdr:row>
      <xdr:rowOff>92100</xdr:rowOff>
    </xdr:to>
    <xdr:sp macro="[0]!CuidadosJun" textlink="">
      <xdr:nvSpPr>
        <xdr:cNvPr id="16" name="CaixaDeTexto 15">
          <a:extLst>
            <a:ext uri="{FF2B5EF4-FFF2-40B4-BE49-F238E27FC236}">
              <a16:creationId xmlns:a16="http://schemas.microsoft.com/office/drawing/2014/main" id="{FD093B92-F584-4F9E-9CF9-902FD308544D}"/>
            </a:ext>
          </a:extLst>
        </xdr:cNvPr>
        <xdr:cNvSpPr txBox="1"/>
      </xdr:nvSpPr>
      <xdr:spPr>
        <a:xfrm>
          <a:off x="69696" y="6918480"/>
          <a:ext cx="1312592" cy="247675"/>
        </a:xfrm>
        <a:prstGeom prst="rect">
          <a:avLst/>
        </a:prstGeom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/>
            <a:t>Inserir</a:t>
          </a:r>
          <a:r>
            <a:rPr lang="pt-BR" sz="1100" baseline="0"/>
            <a:t> </a:t>
          </a:r>
          <a:r>
            <a:rPr lang="pt-BR" sz="1050" baseline="0"/>
            <a:t>Cuidados</a:t>
          </a:r>
          <a:endParaRPr lang="pt-BR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142875</xdr:colOff>
      <xdr:row>1</xdr:row>
      <xdr:rowOff>0</xdr:rowOff>
    </xdr:from>
    <xdr:to>
      <xdr:col>8</xdr:col>
      <xdr:colOff>28575</xdr:colOff>
      <xdr:row>1</xdr:row>
      <xdr:rowOff>47625</xdr:rowOff>
    </xdr:to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3408C075-8D5F-4E26-8773-AEFC22B2152A}"/>
            </a:ext>
          </a:extLst>
        </xdr:cNvPr>
        <xdr:cNvSpPr/>
      </xdr:nvSpPr>
      <xdr:spPr>
        <a:xfrm>
          <a:off x="9810750" y="438150"/>
          <a:ext cx="1552575" cy="47625"/>
        </a:xfrm>
        <a:prstGeom prst="rect">
          <a:avLst/>
        </a:prstGeom>
        <a:noFill/>
        <a:ln>
          <a:noFill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800" b="0" cap="none" spc="0">
              <a:ln w="0">
                <a:noFill/>
              </a:ln>
              <a:solidFill>
                <a:schemeClr val="bg1"/>
              </a:solidFill>
              <a:effectLst/>
            </a:rPr>
            <a:t>Janeiro</a:t>
          </a:r>
        </a:p>
      </xdr:txBody>
    </xdr:sp>
    <xdr:clientData/>
  </xdr:twoCellAnchor>
  <xdr:twoCellAnchor>
    <xdr:from>
      <xdr:col>6</xdr:col>
      <xdr:colOff>416080</xdr:colOff>
      <xdr:row>0</xdr:row>
      <xdr:rowOff>331052</xdr:rowOff>
    </xdr:from>
    <xdr:to>
      <xdr:col>7</xdr:col>
      <xdr:colOff>619417</xdr:colOff>
      <xdr:row>2</xdr:row>
      <xdr:rowOff>56629</xdr:rowOff>
    </xdr:to>
    <xdr:sp macro="" textlink="">
      <xdr:nvSpPr>
        <xdr:cNvPr id="3" name="Retângulo 2">
          <a:extLst>
            <a:ext uri="{FF2B5EF4-FFF2-40B4-BE49-F238E27FC236}">
              <a16:creationId xmlns:a16="http://schemas.microsoft.com/office/drawing/2014/main" id="{D2395410-2B40-4C9D-BD32-0EB163322C2E}"/>
            </a:ext>
          </a:extLst>
        </xdr:cNvPr>
        <xdr:cNvSpPr/>
      </xdr:nvSpPr>
      <xdr:spPr>
        <a:xfrm>
          <a:off x="8349708" y="331052"/>
          <a:ext cx="1934099" cy="399297"/>
        </a:xfrm>
        <a:prstGeom prst="rect">
          <a:avLst/>
        </a:prstGeom>
        <a:noFill/>
        <a:ln>
          <a:noFill/>
        </a:ln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pt-BR" sz="1800" b="1">
              <a:solidFill>
                <a:schemeClr val="bg1"/>
              </a:solidFill>
            </a:rPr>
            <a:t>Julho</a:t>
          </a:r>
        </a:p>
      </xdr:txBody>
    </xdr:sp>
    <xdr:clientData/>
  </xdr:twoCellAnchor>
  <xdr:twoCellAnchor>
    <xdr:from>
      <xdr:col>3</xdr:col>
      <xdr:colOff>910988</xdr:colOff>
      <xdr:row>3</xdr:row>
      <xdr:rowOff>160069</xdr:rowOff>
    </xdr:from>
    <xdr:to>
      <xdr:col>6</xdr:col>
      <xdr:colOff>1150275</xdr:colOff>
      <xdr:row>18</xdr:row>
      <xdr:rowOff>44841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3193AE09-8812-448F-A733-954ED9BC681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1209442</xdr:colOff>
      <xdr:row>3</xdr:row>
      <xdr:rowOff>160246</xdr:rowOff>
    </xdr:from>
    <xdr:to>
      <xdr:col>10</xdr:col>
      <xdr:colOff>37715</xdr:colOff>
      <xdr:row>18</xdr:row>
      <xdr:rowOff>33400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29E16276-D5BB-4A81-B1B4-EBDDD0D0812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</xdr:col>
      <xdr:colOff>1198653</xdr:colOff>
      <xdr:row>22</xdr:row>
      <xdr:rowOff>60819</xdr:rowOff>
    </xdr:from>
    <xdr:to>
      <xdr:col>4</xdr:col>
      <xdr:colOff>1615518</xdr:colOff>
      <xdr:row>23</xdr:row>
      <xdr:rowOff>128427</xdr:rowOff>
    </xdr:to>
    <xdr:sp macro="[0]!DespesasJul" textlink="">
      <xdr:nvSpPr>
        <xdr:cNvPr id="6" name="CaixaDeTexto 5">
          <a:extLst>
            <a:ext uri="{FF2B5EF4-FFF2-40B4-BE49-F238E27FC236}">
              <a16:creationId xmlns:a16="http://schemas.microsoft.com/office/drawing/2014/main" id="{6DD7AFC6-CD46-4D98-9BB0-1C83C3A74C10}"/>
            </a:ext>
          </a:extLst>
        </xdr:cNvPr>
        <xdr:cNvSpPr txBox="1"/>
      </xdr:nvSpPr>
      <xdr:spPr>
        <a:xfrm>
          <a:off x="4799103" y="4766169"/>
          <a:ext cx="1626540" cy="258108"/>
        </a:xfrm>
        <a:prstGeom prst="rect">
          <a:avLst/>
        </a:prstGeom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1100"/>
            <a:t>Inserir</a:t>
          </a:r>
          <a:r>
            <a:rPr lang="pt-BR" sz="1100" baseline="0"/>
            <a:t> Despesas</a:t>
          </a:r>
          <a:endParaRPr lang="pt-BR" sz="1100"/>
        </a:p>
      </xdr:txBody>
    </xdr:sp>
    <xdr:clientData/>
  </xdr:twoCellAnchor>
  <xdr:twoCellAnchor>
    <xdr:from>
      <xdr:col>0</xdr:col>
      <xdr:colOff>50066</xdr:colOff>
      <xdr:row>22</xdr:row>
      <xdr:rowOff>19577</xdr:rowOff>
    </xdr:from>
    <xdr:to>
      <xdr:col>0</xdr:col>
      <xdr:colOff>1359186</xdr:colOff>
      <xdr:row>23</xdr:row>
      <xdr:rowOff>104542</xdr:rowOff>
    </xdr:to>
    <xdr:sp macro="[0]!RendaJul" textlink="">
      <xdr:nvSpPr>
        <xdr:cNvPr id="8" name="CaixaDeTexto 7">
          <a:extLst>
            <a:ext uri="{FF2B5EF4-FFF2-40B4-BE49-F238E27FC236}">
              <a16:creationId xmlns:a16="http://schemas.microsoft.com/office/drawing/2014/main" id="{1ABBAD97-0435-44F9-9E73-4DE216F3E467}"/>
            </a:ext>
          </a:extLst>
        </xdr:cNvPr>
        <xdr:cNvSpPr txBox="1"/>
      </xdr:nvSpPr>
      <xdr:spPr>
        <a:xfrm>
          <a:off x="50066" y="4724927"/>
          <a:ext cx="1309120" cy="275465"/>
        </a:xfrm>
        <a:prstGeom prst="rect">
          <a:avLst/>
        </a:prstGeom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/>
            <a:t>Inserir</a:t>
          </a:r>
          <a:r>
            <a:rPr lang="pt-BR" sz="1100" baseline="0"/>
            <a:t> Renda Extra</a:t>
          </a:r>
          <a:endParaRPr lang="pt-BR" sz="1100"/>
        </a:p>
      </xdr:txBody>
    </xdr:sp>
    <xdr:clientData/>
  </xdr:twoCellAnchor>
  <xdr:twoCellAnchor>
    <xdr:from>
      <xdr:col>0</xdr:col>
      <xdr:colOff>0</xdr:colOff>
      <xdr:row>42</xdr:row>
      <xdr:rowOff>81311</xdr:rowOff>
    </xdr:from>
    <xdr:to>
      <xdr:col>0</xdr:col>
      <xdr:colOff>895996</xdr:colOff>
      <xdr:row>43</xdr:row>
      <xdr:rowOff>140461</xdr:rowOff>
    </xdr:to>
    <xdr:sp macro="[0]!LazerJul" textlink="">
      <xdr:nvSpPr>
        <xdr:cNvPr id="10" name="CaixaDeTexto 9">
          <a:extLst>
            <a:ext uri="{FF2B5EF4-FFF2-40B4-BE49-F238E27FC236}">
              <a16:creationId xmlns:a16="http://schemas.microsoft.com/office/drawing/2014/main" id="{830387E2-D366-4D3E-A70E-1FCBAA2AA43F}"/>
            </a:ext>
          </a:extLst>
        </xdr:cNvPr>
        <xdr:cNvSpPr txBox="1"/>
      </xdr:nvSpPr>
      <xdr:spPr>
        <a:xfrm>
          <a:off x="0" y="9749186"/>
          <a:ext cx="895996" cy="249650"/>
        </a:xfrm>
        <a:prstGeom prst="rect">
          <a:avLst/>
        </a:prstGeom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/>
            <a:t>Inserir</a:t>
          </a:r>
          <a:r>
            <a:rPr lang="pt-BR" sz="1100" baseline="0"/>
            <a:t> Lazer </a:t>
          </a:r>
          <a:endParaRPr lang="pt-BR" sz="1100"/>
        </a:p>
      </xdr:txBody>
    </xdr:sp>
    <xdr:clientData/>
  </xdr:twoCellAnchor>
  <xdr:twoCellAnchor>
    <xdr:from>
      <xdr:col>4</xdr:col>
      <xdr:colOff>22501</xdr:colOff>
      <xdr:row>42</xdr:row>
      <xdr:rowOff>58331</xdr:rowOff>
    </xdr:from>
    <xdr:to>
      <xdr:col>4</xdr:col>
      <xdr:colOff>1335093</xdr:colOff>
      <xdr:row>43</xdr:row>
      <xdr:rowOff>154999</xdr:rowOff>
    </xdr:to>
    <xdr:sp macro="[0]!CompraJul" textlink="">
      <xdr:nvSpPr>
        <xdr:cNvPr id="12" name="CaixaDeTexto 11">
          <a:extLst>
            <a:ext uri="{FF2B5EF4-FFF2-40B4-BE49-F238E27FC236}">
              <a16:creationId xmlns:a16="http://schemas.microsoft.com/office/drawing/2014/main" id="{E6DD2BF0-060E-416F-93ED-D476E5E31650}"/>
            </a:ext>
          </a:extLst>
        </xdr:cNvPr>
        <xdr:cNvSpPr txBox="1"/>
      </xdr:nvSpPr>
      <xdr:spPr>
        <a:xfrm>
          <a:off x="4831464" y="8433361"/>
          <a:ext cx="1312592" cy="282522"/>
        </a:xfrm>
        <a:prstGeom prst="rect">
          <a:avLst/>
        </a:prstGeom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/>
            <a:t>Inserir</a:t>
          </a:r>
          <a:r>
            <a:rPr lang="pt-BR" sz="1100" baseline="0"/>
            <a:t> Compra</a:t>
          </a:r>
          <a:endParaRPr lang="pt-BR" sz="1100"/>
        </a:p>
      </xdr:txBody>
    </xdr:sp>
    <xdr:clientData/>
  </xdr:twoCellAnchor>
  <xdr:twoCellAnchor>
    <xdr:from>
      <xdr:col>4</xdr:col>
      <xdr:colOff>43905</xdr:colOff>
      <xdr:row>34</xdr:row>
      <xdr:rowOff>70679</xdr:rowOff>
    </xdr:from>
    <xdr:to>
      <xdr:col>4</xdr:col>
      <xdr:colOff>1356497</xdr:colOff>
      <xdr:row>35</xdr:row>
      <xdr:rowOff>132499</xdr:rowOff>
    </xdr:to>
    <xdr:sp macro="[0]!Despesas2Jul" textlink="">
      <xdr:nvSpPr>
        <xdr:cNvPr id="14" name="CaixaDeTexto 13">
          <a:extLst>
            <a:ext uri="{FF2B5EF4-FFF2-40B4-BE49-F238E27FC236}">
              <a16:creationId xmlns:a16="http://schemas.microsoft.com/office/drawing/2014/main" id="{E25B1DAF-FE65-4BC3-B6D6-4C1A2AE42F26}"/>
            </a:ext>
          </a:extLst>
        </xdr:cNvPr>
        <xdr:cNvSpPr txBox="1"/>
      </xdr:nvSpPr>
      <xdr:spPr>
        <a:xfrm>
          <a:off x="4854030" y="7062029"/>
          <a:ext cx="1312592" cy="261845"/>
        </a:xfrm>
        <a:prstGeom prst="rect">
          <a:avLst/>
        </a:prstGeom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/>
            <a:t>Inserir</a:t>
          </a:r>
          <a:r>
            <a:rPr lang="pt-BR" sz="1100" baseline="0"/>
            <a:t> </a:t>
          </a:r>
          <a:r>
            <a:rPr lang="pt-BR" sz="1050" baseline="0"/>
            <a:t>Despesas</a:t>
          </a:r>
          <a:endParaRPr lang="pt-BR" sz="1100"/>
        </a:p>
      </xdr:txBody>
    </xdr:sp>
    <xdr:clientData/>
  </xdr:twoCellAnchor>
  <xdr:twoCellAnchor>
    <xdr:from>
      <xdr:col>0</xdr:col>
      <xdr:colOff>0</xdr:colOff>
      <xdr:row>32</xdr:row>
      <xdr:rowOff>41895</xdr:rowOff>
    </xdr:from>
    <xdr:to>
      <xdr:col>0</xdr:col>
      <xdr:colOff>1312592</xdr:colOff>
      <xdr:row>33</xdr:row>
      <xdr:rowOff>103716</xdr:rowOff>
    </xdr:to>
    <xdr:sp macro="[0]!CuidadosJul" textlink="">
      <xdr:nvSpPr>
        <xdr:cNvPr id="16" name="CaixaDeTexto 15">
          <a:extLst>
            <a:ext uri="{FF2B5EF4-FFF2-40B4-BE49-F238E27FC236}">
              <a16:creationId xmlns:a16="http://schemas.microsoft.com/office/drawing/2014/main" id="{0F9B3894-5E09-4BFD-AD7C-5E667A3A0C68}"/>
            </a:ext>
          </a:extLst>
        </xdr:cNvPr>
        <xdr:cNvSpPr txBox="1"/>
      </xdr:nvSpPr>
      <xdr:spPr>
        <a:xfrm>
          <a:off x="0" y="6842745"/>
          <a:ext cx="1312592" cy="252321"/>
        </a:xfrm>
        <a:prstGeom prst="rect">
          <a:avLst/>
        </a:prstGeom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/>
            <a:t>Inserir</a:t>
          </a:r>
          <a:r>
            <a:rPr lang="pt-BR" sz="1100" baseline="0"/>
            <a:t> </a:t>
          </a:r>
          <a:r>
            <a:rPr lang="pt-BR" sz="1050" baseline="0"/>
            <a:t>Cuidados</a:t>
          </a:r>
          <a:endParaRPr lang="pt-BR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142875</xdr:colOff>
      <xdr:row>1</xdr:row>
      <xdr:rowOff>0</xdr:rowOff>
    </xdr:from>
    <xdr:to>
      <xdr:col>8</xdr:col>
      <xdr:colOff>28575</xdr:colOff>
      <xdr:row>1</xdr:row>
      <xdr:rowOff>47625</xdr:rowOff>
    </xdr:to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FA342CEB-1D07-439C-B647-EB9C77B50CCA}"/>
            </a:ext>
          </a:extLst>
        </xdr:cNvPr>
        <xdr:cNvSpPr/>
      </xdr:nvSpPr>
      <xdr:spPr>
        <a:xfrm>
          <a:off x="9810750" y="438150"/>
          <a:ext cx="1552575" cy="47625"/>
        </a:xfrm>
        <a:prstGeom prst="rect">
          <a:avLst/>
        </a:prstGeom>
        <a:noFill/>
        <a:ln>
          <a:noFill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800" b="0" cap="none" spc="0">
              <a:ln w="0">
                <a:noFill/>
              </a:ln>
              <a:solidFill>
                <a:schemeClr val="bg1"/>
              </a:solidFill>
              <a:effectLst/>
            </a:rPr>
            <a:t>Janeiro</a:t>
          </a:r>
        </a:p>
      </xdr:txBody>
    </xdr:sp>
    <xdr:clientData/>
  </xdr:twoCellAnchor>
  <xdr:twoCellAnchor>
    <xdr:from>
      <xdr:col>6</xdr:col>
      <xdr:colOff>404464</xdr:colOff>
      <xdr:row>0</xdr:row>
      <xdr:rowOff>331052</xdr:rowOff>
    </xdr:from>
    <xdr:to>
      <xdr:col>7</xdr:col>
      <xdr:colOff>607801</xdr:colOff>
      <xdr:row>2</xdr:row>
      <xdr:rowOff>56629</xdr:rowOff>
    </xdr:to>
    <xdr:sp macro="" textlink="">
      <xdr:nvSpPr>
        <xdr:cNvPr id="3" name="Retângulo 2">
          <a:extLst>
            <a:ext uri="{FF2B5EF4-FFF2-40B4-BE49-F238E27FC236}">
              <a16:creationId xmlns:a16="http://schemas.microsoft.com/office/drawing/2014/main" id="{ADE132C8-A94A-43D4-9F7B-1780145D1B62}"/>
            </a:ext>
          </a:extLst>
        </xdr:cNvPr>
        <xdr:cNvSpPr/>
      </xdr:nvSpPr>
      <xdr:spPr>
        <a:xfrm>
          <a:off x="8338092" y="331052"/>
          <a:ext cx="1934099" cy="399297"/>
        </a:xfrm>
        <a:prstGeom prst="rect">
          <a:avLst/>
        </a:prstGeom>
        <a:noFill/>
        <a:ln>
          <a:noFill/>
        </a:ln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pt-BR" sz="1800" b="1">
              <a:solidFill>
                <a:schemeClr val="bg1"/>
              </a:solidFill>
            </a:rPr>
            <a:t>Agosto</a:t>
          </a:r>
        </a:p>
      </xdr:txBody>
    </xdr:sp>
    <xdr:clientData/>
  </xdr:twoCellAnchor>
  <xdr:twoCellAnchor>
    <xdr:from>
      <xdr:col>2</xdr:col>
      <xdr:colOff>977241</xdr:colOff>
      <xdr:row>3</xdr:row>
      <xdr:rowOff>160069</xdr:rowOff>
    </xdr:from>
    <xdr:to>
      <xdr:col>6</xdr:col>
      <xdr:colOff>568879</xdr:colOff>
      <xdr:row>18</xdr:row>
      <xdr:rowOff>44841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7436F58B-4D82-4585-BC1D-56E6030BBF6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677526</xdr:colOff>
      <xdr:row>3</xdr:row>
      <xdr:rowOff>197922</xdr:rowOff>
    </xdr:from>
    <xdr:to>
      <xdr:col>9</xdr:col>
      <xdr:colOff>779318</xdr:colOff>
      <xdr:row>18</xdr:row>
      <xdr:rowOff>45770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2BDD0CA1-E43C-4208-8B9A-2130D17F3F6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</xdr:col>
      <xdr:colOff>1198653</xdr:colOff>
      <xdr:row>22</xdr:row>
      <xdr:rowOff>60819</xdr:rowOff>
    </xdr:from>
    <xdr:to>
      <xdr:col>4</xdr:col>
      <xdr:colOff>1615518</xdr:colOff>
      <xdr:row>23</xdr:row>
      <xdr:rowOff>128427</xdr:rowOff>
    </xdr:to>
    <xdr:sp macro="[0]!DespesasAgt" textlink="">
      <xdr:nvSpPr>
        <xdr:cNvPr id="6" name="CaixaDeTexto 5">
          <a:extLst>
            <a:ext uri="{FF2B5EF4-FFF2-40B4-BE49-F238E27FC236}">
              <a16:creationId xmlns:a16="http://schemas.microsoft.com/office/drawing/2014/main" id="{0A4B62EB-DB8F-4813-9D38-50778FDA97FB}"/>
            </a:ext>
          </a:extLst>
        </xdr:cNvPr>
        <xdr:cNvSpPr txBox="1"/>
      </xdr:nvSpPr>
      <xdr:spPr>
        <a:xfrm>
          <a:off x="4799103" y="4766169"/>
          <a:ext cx="1626540" cy="258108"/>
        </a:xfrm>
        <a:prstGeom prst="rect">
          <a:avLst/>
        </a:prstGeom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1100"/>
            <a:t>Inserir</a:t>
          </a:r>
          <a:r>
            <a:rPr lang="pt-BR" sz="1100" baseline="0"/>
            <a:t> Despesas</a:t>
          </a:r>
          <a:endParaRPr lang="pt-BR" sz="1100"/>
        </a:p>
      </xdr:txBody>
    </xdr:sp>
    <xdr:clientData/>
  </xdr:twoCellAnchor>
  <xdr:twoCellAnchor>
    <xdr:from>
      <xdr:col>0</xdr:col>
      <xdr:colOff>84913</xdr:colOff>
      <xdr:row>22</xdr:row>
      <xdr:rowOff>19577</xdr:rowOff>
    </xdr:from>
    <xdr:to>
      <xdr:col>0</xdr:col>
      <xdr:colOff>1394033</xdr:colOff>
      <xdr:row>23</xdr:row>
      <xdr:rowOff>104542</xdr:rowOff>
    </xdr:to>
    <xdr:sp macro="[0]!RendaAgt" textlink="">
      <xdr:nvSpPr>
        <xdr:cNvPr id="8" name="CaixaDeTexto 7">
          <a:extLst>
            <a:ext uri="{FF2B5EF4-FFF2-40B4-BE49-F238E27FC236}">
              <a16:creationId xmlns:a16="http://schemas.microsoft.com/office/drawing/2014/main" id="{810B1ABA-77A9-47BD-B1D5-14CCC59E56EE}"/>
            </a:ext>
          </a:extLst>
        </xdr:cNvPr>
        <xdr:cNvSpPr txBox="1"/>
      </xdr:nvSpPr>
      <xdr:spPr>
        <a:xfrm>
          <a:off x="84913" y="4665918"/>
          <a:ext cx="1309120" cy="270819"/>
        </a:xfrm>
        <a:prstGeom prst="rect">
          <a:avLst/>
        </a:prstGeom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/>
            <a:t>Inserir</a:t>
          </a:r>
          <a:r>
            <a:rPr lang="pt-BR" sz="1100" baseline="0"/>
            <a:t> Renda Extra</a:t>
          </a:r>
          <a:endParaRPr lang="pt-BR" sz="1100"/>
        </a:p>
      </xdr:txBody>
    </xdr:sp>
    <xdr:clientData/>
  </xdr:twoCellAnchor>
  <xdr:twoCellAnchor>
    <xdr:from>
      <xdr:col>0</xdr:col>
      <xdr:colOff>46462</xdr:colOff>
      <xdr:row>42</xdr:row>
      <xdr:rowOff>58080</xdr:rowOff>
    </xdr:from>
    <xdr:to>
      <xdr:col>0</xdr:col>
      <xdr:colOff>942458</xdr:colOff>
      <xdr:row>43</xdr:row>
      <xdr:rowOff>117230</xdr:rowOff>
    </xdr:to>
    <xdr:sp macro="[0]!LazerAgt" textlink="">
      <xdr:nvSpPr>
        <xdr:cNvPr id="10" name="CaixaDeTexto 9">
          <a:extLst>
            <a:ext uri="{FF2B5EF4-FFF2-40B4-BE49-F238E27FC236}">
              <a16:creationId xmlns:a16="http://schemas.microsoft.com/office/drawing/2014/main" id="{BB64585E-E3AA-4725-A6F4-D942ADDB8A0F}"/>
            </a:ext>
          </a:extLst>
        </xdr:cNvPr>
        <xdr:cNvSpPr txBox="1"/>
      </xdr:nvSpPr>
      <xdr:spPr>
        <a:xfrm>
          <a:off x="46462" y="8433110"/>
          <a:ext cx="895996" cy="245004"/>
        </a:xfrm>
        <a:prstGeom prst="rect">
          <a:avLst/>
        </a:prstGeom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/>
            <a:t>Inserir</a:t>
          </a:r>
          <a:r>
            <a:rPr lang="pt-BR" sz="1100" baseline="0"/>
            <a:t> Lazer </a:t>
          </a:r>
          <a:endParaRPr lang="pt-BR" sz="1100"/>
        </a:p>
      </xdr:txBody>
    </xdr:sp>
    <xdr:clientData/>
  </xdr:twoCellAnchor>
  <xdr:twoCellAnchor>
    <xdr:from>
      <xdr:col>3</xdr:col>
      <xdr:colOff>1207317</xdr:colOff>
      <xdr:row>42</xdr:row>
      <xdr:rowOff>11868</xdr:rowOff>
    </xdr:from>
    <xdr:to>
      <xdr:col>4</xdr:col>
      <xdr:colOff>1311861</xdr:colOff>
      <xdr:row>43</xdr:row>
      <xdr:rowOff>108536</xdr:rowOff>
    </xdr:to>
    <xdr:sp macro="[0]!CompraAgt" textlink="">
      <xdr:nvSpPr>
        <xdr:cNvPr id="12" name="CaixaDeTexto 11">
          <a:extLst>
            <a:ext uri="{FF2B5EF4-FFF2-40B4-BE49-F238E27FC236}">
              <a16:creationId xmlns:a16="http://schemas.microsoft.com/office/drawing/2014/main" id="{14D5000B-9474-444F-8FAE-1AED4F299455}"/>
            </a:ext>
          </a:extLst>
        </xdr:cNvPr>
        <xdr:cNvSpPr txBox="1"/>
      </xdr:nvSpPr>
      <xdr:spPr>
        <a:xfrm>
          <a:off x="4808232" y="8386898"/>
          <a:ext cx="1312592" cy="282522"/>
        </a:xfrm>
        <a:prstGeom prst="rect">
          <a:avLst/>
        </a:prstGeom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/>
            <a:t>Inserir</a:t>
          </a:r>
          <a:r>
            <a:rPr lang="pt-BR" sz="1100" baseline="0"/>
            <a:t> Compra</a:t>
          </a:r>
          <a:endParaRPr lang="pt-BR" sz="1100"/>
        </a:p>
      </xdr:txBody>
    </xdr:sp>
    <xdr:clientData/>
  </xdr:twoCellAnchor>
  <xdr:twoCellAnchor>
    <xdr:from>
      <xdr:col>4</xdr:col>
      <xdr:colOff>9057</xdr:colOff>
      <xdr:row>34</xdr:row>
      <xdr:rowOff>12599</xdr:rowOff>
    </xdr:from>
    <xdr:to>
      <xdr:col>4</xdr:col>
      <xdr:colOff>1321649</xdr:colOff>
      <xdr:row>35</xdr:row>
      <xdr:rowOff>74419</xdr:rowOff>
    </xdr:to>
    <xdr:sp macro="[0]!Despesas2Agt" textlink="">
      <xdr:nvSpPr>
        <xdr:cNvPr id="14" name="CaixaDeTexto 13">
          <a:extLst>
            <a:ext uri="{FF2B5EF4-FFF2-40B4-BE49-F238E27FC236}">
              <a16:creationId xmlns:a16="http://schemas.microsoft.com/office/drawing/2014/main" id="{21E10EDC-FD2C-4ED8-A9A7-DA3FBFB1856C}"/>
            </a:ext>
          </a:extLst>
        </xdr:cNvPr>
        <xdr:cNvSpPr txBox="1"/>
      </xdr:nvSpPr>
      <xdr:spPr>
        <a:xfrm>
          <a:off x="4818020" y="6889184"/>
          <a:ext cx="1312592" cy="259290"/>
        </a:xfrm>
        <a:prstGeom prst="rect">
          <a:avLst/>
        </a:prstGeom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/>
            <a:t>Inserir</a:t>
          </a:r>
          <a:r>
            <a:rPr lang="pt-BR" sz="1100" baseline="0"/>
            <a:t> </a:t>
          </a:r>
          <a:r>
            <a:rPr lang="pt-BR" sz="1050" baseline="0"/>
            <a:t>Despesas</a:t>
          </a:r>
          <a:endParaRPr lang="pt-BR" sz="1100"/>
        </a:p>
      </xdr:txBody>
    </xdr:sp>
    <xdr:clientData/>
  </xdr:twoCellAnchor>
  <xdr:twoCellAnchor>
    <xdr:from>
      <xdr:col>0</xdr:col>
      <xdr:colOff>58079</xdr:colOff>
      <xdr:row>34</xdr:row>
      <xdr:rowOff>30280</xdr:rowOff>
    </xdr:from>
    <xdr:to>
      <xdr:col>0</xdr:col>
      <xdr:colOff>1370671</xdr:colOff>
      <xdr:row>35</xdr:row>
      <xdr:rowOff>80485</xdr:rowOff>
    </xdr:to>
    <xdr:sp macro="[0]!CuidadosAgt" textlink="">
      <xdr:nvSpPr>
        <xdr:cNvPr id="16" name="CaixaDeTexto 15">
          <a:extLst>
            <a:ext uri="{FF2B5EF4-FFF2-40B4-BE49-F238E27FC236}">
              <a16:creationId xmlns:a16="http://schemas.microsoft.com/office/drawing/2014/main" id="{D2A9CEBF-3234-4583-9E98-C4F6FFEF64FE}"/>
            </a:ext>
          </a:extLst>
        </xdr:cNvPr>
        <xdr:cNvSpPr txBox="1"/>
      </xdr:nvSpPr>
      <xdr:spPr>
        <a:xfrm>
          <a:off x="58079" y="6906865"/>
          <a:ext cx="1312592" cy="247675"/>
        </a:xfrm>
        <a:prstGeom prst="rect">
          <a:avLst/>
        </a:prstGeom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/>
            <a:t>Inserir</a:t>
          </a:r>
          <a:r>
            <a:rPr lang="pt-BR" sz="1100" baseline="0"/>
            <a:t> </a:t>
          </a:r>
          <a:r>
            <a:rPr lang="pt-BR" sz="1050" baseline="0"/>
            <a:t>Cuidados</a:t>
          </a:r>
          <a:endParaRPr lang="pt-BR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142875</xdr:colOff>
      <xdr:row>1</xdr:row>
      <xdr:rowOff>0</xdr:rowOff>
    </xdr:from>
    <xdr:to>
      <xdr:col>8</xdr:col>
      <xdr:colOff>28575</xdr:colOff>
      <xdr:row>1</xdr:row>
      <xdr:rowOff>47625</xdr:rowOff>
    </xdr:to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F7A3619A-CDB5-461F-922C-49211C07609E}"/>
            </a:ext>
          </a:extLst>
        </xdr:cNvPr>
        <xdr:cNvSpPr/>
      </xdr:nvSpPr>
      <xdr:spPr>
        <a:xfrm>
          <a:off x="9810750" y="438150"/>
          <a:ext cx="1552575" cy="47625"/>
        </a:xfrm>
        <a:prstGeom prst="rect">
          <a:avLst/>
        </a:prstGeom>
        <a:noFill/>
        <a:ln>
          <a:noFill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800" b="0" cap="none" spc="0">
              <a:ln w="0">
                <a:noFill/>
              </a:ln>
              <a:solidFill>
                <a:schemeClr val="bg1"/>
              </a:solidFill>
              <a:effectLst/>
            </a:rPr>
            <a:t>Janeiro</a:t>
          </a:r>
        </a:p>
      </xdr:txBody>
    </xdr:sp>
    <xdr:clientData/>
  </xdr:twoCellAnchor>
  <xdr:twoCellAnchor>
    <xdr:from>
      <xdr:col>6</xdr:col>
      <xdr:colOff>404464</xdr:colOff>
      <xdr:row>0</xdr:row>
      <xdr:rowOff>377515</xdr:rowOff>
    </xdr:from>
    <xdr:to>
      <xdr:col>7</xdr:col>
      <xdr:colOff>607801</xdr:colOff>
      <xdr:row>2</xdr:row>
      <xdr:rowOff>103092</xdr:rowOff>
    </xdr:to>
    <xdr:sp macro="" textlink="">
      <xdr:nvSpPr>
        <xdr:cNvPr id="3" name="Retângulo 2">
          <a:extLst>
            <a:ext uri="{FF2B5EF4-FFF2-40B4-BE49-F238E27FC236}">
              <a16:creationId xmlns:a16="http://schemas.microsoft.com/office/drawing/2014/main" id="{BA9E978A-5F1A-4BF5-BECD-9081F87394BA}"/>
            </a:ext>
          </a:extLst>
        </xdr:cNvPr>
        <xdr:cNvSpPr/>
      </xdr:nvSpPr>
      <xdr:spPr>
        <a:xfrm>
          <a:off x="8338092" y="377515"/>
          <a:ext cx="1934099" cy="399297"/>
        </a:xfrm>
        <a:prstGeom prst="rect">
          <a:avLst/>
        </a:prstGeom>
        <a:noFill/>
        <a:ln>
          <a:noFill/>
        </a:ln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pt-BR" sz="1800" b="1">
              <a:solidFill>
                <a:schemeClr val="bg1"/>
              </a:solidFill>
            </a:rPr>
            <a:t>Setembro</a:t>
          </a:r>
        </a:p>
      </xdr:txBody>
    </xdr:sp>
    <xdr:clientData/>
  </xdr:twoCellAnchor>
  <xdr:twoCellAnchor>
    <xdr:from>
      <xdr:col>3</xdr:col>
      <xdr:colOff>329592</xdr:colOff>
      <xdr:row>3</xdr:row>
      <xdr:rowOff>160069</xdr:rowOff>
    </xdr:from>
    <xdr:to>
      <xdr:col>6</xdr:col>
      <xdr:colOff>568879</xdr:colOff>
      <xdr:row>18</xdr:row>
      <xdr:rowOff>44841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3C789301-19B1-4DB3-AD87-38E35CD2521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677526</xdr:colOff>
      <xdr:row>3</xdr:row>
      <xdr:rowOff>172616</xdr:rowOff>
    </xdr:from>
    <xdr:to>
      <xdr:col>9</xdr:col>
      <xdr:colOff>371708</xdr:colOff>
      <xdr:row>18</xdr:row>
      <xdr:rowOff>45770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5F1DA08-73EF-4430-91BF-009381FD610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48684</xdr:colOff>
      <xdr:row>22</xdr:row>
      <xdr:rowOff>60819</xdr:rowOff>
    </xdr:from>
    <xdr:to>
      <xdr:col>4</xdr:col>
      <xdr:colOff>1673597</xdr:colOff>
      <xdr:row>23</xdr:row>
      <xdr:rowOff>128427</xdr:rowOff>
    </xdr:to>
    <xdr:sp macro="[0]!DespesasSet" textlink="">
      <xdr:nvSpPr>
        <xdr:cNvPr id="6" name="CaixaDeTexto 5">
          <a:extLst>
            <a:ext uri="{FF2B5EF4-FFF2-40B4-BE49-F238E27FC236}">
              <a16:creationId xmlns:a16="http://schemas.microsoft.com/office/drawing/2014/main" id="{9CE96D93-CF00-4EC1-B8E0-844D9DC456F5}"/>
            </a:ext>
          </a:extLst>
        </xdr:cNvPr>
        <xdr:cNvSpPr txBox="1"/>
      </xdr:nvSpPr>
      <xdr:spPr>
        <a:xfrm>
          <a:off x="4857647" y="4707160"/>
          <a:ext cx="1624913" cy="253462"/>
        </a:xfrm>
        <a:prstGeom prst="rect">
          <a:avLst/>
        </a:prstGeom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1100"/>
            <a:t>Inserir</a:t>
          </a:r>
          <a:r>
            <a:rPr lang="pt-BR" sz="1100" baseline="0"/>
            <a:t> Despesas</a:t>
          </a:r>
          <a:endParaRPr lang="pt-BR" sz="1100"/>
        </a:p>
      </xdr:txBody>
    </xdr:sp>
    <xdr:clientData/>
  </xdr:twoCellAnchor>
  <xdr:twoCellAnchor>
    <xdr:from>
      <xdr:col>0</xdr:col>
      <xdr:colOff>50066</xdr:colOff>
      <xdr:row>22</xdr:row>
      <xdr:rowOff>19577</xdr:rowOff>
    </xdr:from>
    <xdr:to>
      <xdr:col>0</xdr:col>
      <xdr:colOff>1359186</xdr:colOff>
      <xdr:row>23</xdr:row>
      <xdr:rowOff>104542</xdr:rowOff>
    </xdr:to>
    <xdr:sp macro="[0]!InserirRenda" textlink="">
      <xdr:nvSpPr>
        <xdr:cNvPr id="8" name="CaixaDeTexto 7">
          <a:extLst>
            <a:ext uri="{FF2B5EF4-FFF2-40B4-BE49-F238E27FC236}">
              <a16:creationId xmlns:a16="http://schemas.microsoft.com/office/drawing/2014/main" id="{50569F14-F3D2-4A22-BFBA-B08CD2DDF57C}"/>
            </a:ext>
          </a:extLst>
        </xdr:cNvPr>
        <xdr:cNvSpPr txBox="1"/>
      </xdr:nvSpPr>
      <xdr:spPr>
        <a:xfrm>
          <a:off x="50066" y="4724927"/>
          <a:ext cx="1309120" cy="275465"/>
        </a:xfrm>
        <a:prstGeom prst="rect">
          <a:avLst/>
        </a:prstGeom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/>
            <a:t>Inserir</a:t>
          </a:r>
          <a:r>
            <a:rPr lang="pt-BR" sz="1100" baseline="0"/>
            <a:t> Renda Extra</a:t>
          </a:r>
          <a:endParaRPr lang="pt-BR" sz="1100"/>
        </a:p>
      </xdr:txBody>
    </xdr:sp>
    <xdr:clientData/>
  </xdr:twoCellAnchor>
  <xdr:twoCellAnchor>
    <xdr:from>
      <xdr:col>0</xdr:col>
      <xdr:colOff>162622</xdr:colOff>
      <xdr:row>42</xdr:row>
      <xdr:rowOff>58079</xdr:rowOff>
    </xdr:from>
    <xdr:to>
      <xdr:col>0</xdr:col>
      <xdr:colOff>1058618</xdr:colOff>
      <xdr:row>43</xdr:row>
      <xdr:rowOff>117229</xdr:rowOff>
    </xdr:to>
    <xdr:sp macro="[0]!LazerSet" textlink="">
      <xdr:nvSpPr>
        <xdr:cNvPr id="10" name="CaixaDeTexto 9">
          <a:extLst>
            <a:ext uri="{FF2B5EF4-FFF2-40B4-BE49-F238E27FC236}">
              <a16:creationId xmlns:a16="http://schemas.microsoft.com/office/drawing/2014/main" id="{A649681B-2013-4FCD-99E3-39B437739D38}"/>
            </a:ext>
          </a:extLst>
        </xdr:cNvPr>
        <xdr:cNvSpPr txBox="1"/>
      </xdr:nvSpPr>
      <xdr:spPr>
        <a:xfrm>
          <a:off x="162622" y="8618963"/>
          <a:ext cx="895996" cy="245004"/>
        </a:xfrm>
        <a:prstGeom prst="rect">
          <a:avLst/>
        </a:prstGeom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/>
            <a:t>Inserir</a:t>
          </a:r>
          <a:r>
            <a:rPr lang="pt-BR" sz="1100" baseline="0"/>
            <a:t> Lazer </a:t>
          </a:r>
          <a:endParaRPr lang="pt-BR" sz="1100"/>
        </a:p>
      </xdr:txBody>
    </xdr:sp>
    <xdr:clientData/>
  </xdr:twoCellAnchor>
  <xdr:twoCellAnchor>
    <xdr:from>
      <xdr:col>4</xdr:col>
      <xdr:colOff>34116</xdr:colOff>
      <xdr:row>42</xdr:row>
      <xdr:rowOff>11867</xdr:rowOff>
    </xdr:from>
    <xdr:to>
      <xdr:col>4</xdr:col>
      <xdr:colOff>1346708</xdr:colOff>
      <xdr:row>43</xdr:row>
      <xdr:rowOff>108536</xdr:rowOff>
    </xdr:to>
    <xdr:sp macro="[0]!ComprasSet" textlink="">
      <xdr:nvSpPr>
        <xdr:cNvPr id="12" name="CaixaDeTexto 11">
          <a:extLst>
            <a:ext uri="{FF2B5EF4-FFF2-40B4-BE49-F238E27FC236}">
              <a16:creationId xmlns:a16="http://schemas.microsoft.com/office/drawing/2014/main" id="{ECCDE5FB-08DA-4350-B5F9-6006B026F5E0}"/>
            </a:ext>
          </a:extLst>
        </xdr:cNvPr>
        <xdr:cNvSpPr txBox="1"/>
      </xdr:nvSpPr>
      <xdr:spPr>
        <a:xfrm>
          <a:off x="4843079" y="8572751"/>
          <a:ext cx="1312592" cy="282523"/>
        </a:xfrm>
        <a:prstGeom prst="rect">
          <a:avLst/>
        </a:prstGeom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/>
            <a:t>Inserir</a:t>
          </a:r>
          <a:r>
            <a:rPr lang="pt-BR" sz="1100" baseline="0"/>
            <a:t> Compra</a:t>
          </a:r>
          <a:endParaRPr lang="pt-BR" sz="1100"/>
        </a:p>
      </xdr:txBody>
    </xdr:sp>
    <xdr:clientData/>
  </xdr:twoCellAnchor>
  <xdr:twoCellAnchor>
    <xdr:from>
      <xdr:col>4</xdr:col>
      <xdr:colOff>32289</xdr:colOff>
      <xdr:row>35</xdr:row>
      <xdr:rowOff>12599</xdr:rowOff>
    </xdr:from>
    <xdr:to>
      <xdr:col>4</xdr:col>
      <xdr:colOff>1344881</xdr:colOff>
      <xdr:row>36</xdr:row>
      <xdr:rowOff>86035</xdr:rowOff>
    </xdr:to>
    <xdr:sp macro="[0]!Despesas2Set" textlink="">
      <xdr:nvSpPr>
        <xdr:cNvPr id="14" name="CaixaDeTexto 13">
          <a:extLst>
            <a:ext uri="{FF2B5EF4-FFF2-40B4-BE49-F238E27FC236}">
              <a16:creationId xmlns:a16="http://schemas.microsoft.com/office/drawing/2014/main" id="{228AB504-46C1-4C85-A7E4-31E78BFD9553}"/>
            </a:ext>
          </a:extLst>
        </xdr:cNvPr>
        <xdr:cNvSpPr txBox="1"/>
      </xdr:nvSpPr>
      <xdr:spPr>
        <a:xfrm>
          <a:off x="4841252" y="7086654"/>
          <a:ext cx="1312592" cy="259290"/>
        </a:xfrm>
        <a:prstGeom prst="rect">
          <a:avLst/>
        </a:prstGeom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/>
            <a:t>Inserir</a:t>
          </a:r>
          <a:r>
            <a:rPr lang="pt-BR" sz="1100" baseline="0"/>
            <a:t> </a:t>
          </a:r>
          <a:r>
            <a:rPr lang="pt-BR" sz="1050" baseline="0"/>
            <a:t>Despesas</a:t>
          </a:r>
          <a:endParaRPr lang="pt-BR" sz="1100"/>
        </a:p>
      </xdr:txBody>
    </xdr:sp>
    <xdr:clientData/>
  </xdr:twoCellAnchor>
  <xdr:twoCellAnchor>
    <xdr:from>
      <xdr:col>0</xdr:col>
      <xdr:colOff>46464</xdr:colOff>
      <xdr:row>35</xdr:row>
      <xdr:rowOff>76742</xdr:rowOff>
    </xdr:from>
    <xdr:to>
      <xdr:col>0</xdr:col>
      <xdr:colOff>1196433</xdr:colOff>
      <xdr:row>36</xdr:row>
      <xdr:rowOff>116157</xdr:rowOff>
    </xdr:to>
    <xdr:sp macro="[0]!InserirCuidado" textlink="">
      <xdr:nvSpPr>
        <xdr:cNvPr id="16" name="CaixaDeTexto 15">
          <a:extLst>
            <a:ext uri="{FF2B5EF4-FFF2-40B4-BE49-F238E27FC236}">
              <a16:creationId xmlns:a16="http://schemas.microsoft.com/office/drawing/2014/main" id="{C9842DD0-B488-4E72-AC65-452AAAD93422}"/>
            </a:ext>
          </a:extLst>
        </xdr:cNvPr>
        <xdr:cNvSpPr txBox="1"/>
      </xdr:nvSpPr>
      <xdr:spPr>
        <a:xfrm>
          <a:off x="46464" y="7150797"/>
          <a:ext cx="1149969" cy="225269"/>
        </a:xfrm>
        <a:prstGeom prst="rect">
          <a:avLst/>
        </a:prstGeom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/>
            <a:t>Inserir</a:t>
          </a:r>
          <a:r>
            <a:rPr lang="pt-BR" sz="1100" baseline="0"/>
            <a:t> Cuidados</a:t>
          </a:r>
          <a:endParaRPr lang="pt-BR" sz="1100"/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142875</xdr:colOff>
      <xdr:row>1</xdr:row>
      <xdr:rowOff>0</xdr:rowOff>
    </xdr:from>
    <xdr:to>
      <xdr:col>8</xdr:col>
      <xdr:colOff>28575</xdr:colOff>
      <xdr:row>1</xdr:row>
      <xdr:rowOff>47625</xdr:rowOff>
    </xdr:to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0B7A6F0A-1511-4A42-8DA9-0F9ECBD84280}"/>
            </a:ext>
          </a:extLst>
        </xdr:cNvPr>
        <xdr:cNvSpPr/>
      </xdr:nvSpPr>
      <xdr:spPr>
        <a:xfrm>
          <a:off x="9810750" y="438150"/>
          <a:ext cx="1552575" cy="47625"/>
        </a:xfrm>
        <a:prstGeom prst="rect">
          <a:avLst/>
        </a:prstGeom>
        <a:noFill/>
        <a:ln>
          <a:noFill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800" b="0" cap="none" spc="0">
              <a:ln w="0">
                <a:noFill/>
              </a:ln>
              <a:solidFill>
                <a:schemeClr val="bg1"/>
              </a:solidFill>
              <a:effectLst/>
            </a:rPr>
            <a:t>Janeiro</a:t>
          </a:r>
        </a:p>
      </xdr:txBody>
    </xdr:sp>
    <xdr:clientData/>
  </xdr:twoCellAnchor>
  <xdr:twoCellAnchor>
    <xdr:from>
      <xdr:col>6</xdr:col>
      <xdr:colOff>369617</xdr:colOff>
      <xdr:row>0</xdr:row>
      <xdr:rowOff>354284</xdr:rowOff>
    </xdr:from>
    <xdr:to>
      <xdr:col>7</xdr:col>
      <xdr:colOff>572954</xdr:colOff>
      <xdr:row>2</xdr:row>
      <xdr:rowOff>79861</xdr:rowOff>
    </xdr:to>
    <xdr:sp macro="" textlink="">
      <xdr:nvSpPr>
        <xdr:cNvPr id="3" name="Retângulo 2">
          <a:extLst>
            <a:ext uri="{FF2B5EF4-FFF2-40B4-BE49-F238E27FC236}">
              <a16:creationId xmlns:a16="http://schemas.microsoft.com/office/drawing/2014/main" id="{30E33AE6-B72F-48FD-8BD6-2BB684FD089B}"/>
            </a:ext>
          </a:extLst>
        </xdr:cNvPr>
        <xdr:cNvSpPr/>
      </xdr:nvSpPr>
      <xdr:spPr>
        <a:xfrm>
          <a:off x="8303245" y="354284"/>
          <a:ext cx="1934099" cy="399297"/>
        </a:xfrm>
        <a:prstGeom prst="rect">
          <a:avLst/>
        </a:prstGeom>
        <a:noFill/>
        <a:ln>
          <a:noFill/>
        </a:ln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pt-BR" sz="1800" b="1">
              <a:solidFill>
                <a:schemeClr val="bg1"/>
              </a:solidFill>
            </a:rPr>
            <a:t>Outubro</a:t>
          </a:r>
        </a:p>
      </xdr:txBody>
    </xdr:sp>
    <xdr:clientData/>
  </xdr:twoCellAnchor>
  <xdr:twoCellAnchor>
    <xdr:from>
      <xdr:col>3</xdr:col>
      <xdr:colOff>329592</xdr:colOff>
      <xdr:row>3</xdr:row>
      <xdr:rowOff>160069</xdr:rowOff>
    </xdr:from>
    <xdr:to>
      <xdr:col>6</xdr:col>
      <xdr:colOff>568879</xdr:colOff>
      <xdr:row>18</xdr:row>
      <xdr:rowOff>44841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5C0A172E-A6A0-4C13-A88D-3E9E96DA9C3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677526</xdr:colOff>
      <xdr:row>3</xdr:row>
      <xdr:rowOff>172616</xdr:rowOff>
    </xdr:from>
    <xdr:to>
      <xdr:col>9</xdr:col>
      <xdr:colOff>371708</xdr:colOff>
      <xdr:row>18</xdr:row>
      <xdr:rowOff>45770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981447A-6F4F-47F2-A64F-BC5D90D1613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</xdr:col>
      <xdr:colOff>1198653</xdr:colOff>
      <xdr:row>22</xdr:row>
      <xdr:rowOff>60819</xdr:rowOff>
    </xdr:from>
    <xdr:to>
      <xdr:col>4</xdr:col>
      <xdr:colOff>1615518</xdr:colOff>
      <xdr:row>23</xdr:row>
      <xdr:rowOff>128427</xdr:rowOff>
    </xdr:to>
    <xdr:sp macro="[0]!DespesasOut" textlink="">
      <xdr:nvSpPr>
        <xdr:cNvPr id="6" name="CaixaDeTexto 5">
          <a:extLst>
            <a:ext uri="{FF2B5EF4-FFF2-40B4-BE49-F238E27FC236}">
              <a16:creationId xmlns:a16="http://schemas.microsoft.com/office/drawing/2014/main" id="{CBEF0019-BA75-454A-88D1-04E424CF2302}"/>
            </a:ext>
          </a:extLst>
        </xdr:cNvPr>
        <xdr:cNvSpPr txBox="1"/>
      </xdr:nvSpPr>
      <xdr:spPr>
        <a:xfrm>
          <a:off x="4799103" y="4766169"/>
          <a:ext cx="1626540" cy="258108"/>
        </a:xfrm>
        <a:prstGeom prst="rect">
          <a:avLst/>
        </a:prstGeom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1100"/>
            <a:t>Inserir</a:t>
          </a:r>
          <a:r>
            <a:rPr lang="pt-BR" sz="1100" baseline="0"/>
            <a:t> Despesas</a:t>
          </a:r>
          <a:endParaRPr lang="pt-BR" sz="1100"/>
        </a:p>
      </xdr:txBody>
    </xdr:sp>
    <xdr:clientData/>
  </xdr:twoCellAnchor>
  <xdr:twoCellAnchor>
    <xdr:from>
      <xdr:col>0</xdr:col>
      <xdr:colOff>73298</xdr:colOff>
      <xdr:row>22</xdr:row>
      <xdr:rowOff>19577</xdr:rowOff>
    </xdr:from>
    <xdr:to>
      <xdr:col>0</xdr:col>
      <xdr:colOff>1382418</xdr:colOff>
      <xdr:row>23</xdr:row>
      <xdr:rowOff>104542</xdr:rowOff>
    </xdr:to>
    <xdr:sp macro="RendaOut" textlink="">
      <xdr:nvSpPr>
        <xdr:cNvPr id="8" name="CaixaDeTexto 7">
          <a:extLst>
            <a:ext uri="{FF2B5EF4-FFF2-40B4-BE49-F238E27FC236}">
              <a16:creationId xmlns:a16="http://schemas.microsoft.com/office/drawing/2014/main" id="{EE2E2331-073C-48CD-AE13-5706CFBE155C}"/>
            </a:ext>
          </a:extLst>
        </xdr:cNvPr>
        <xdr:cNvSpPr txBox="1"/>
      </xdr:nvSpPr>
      <xdr:spPr>
        <a:xfrm>
          <a:off x="73298" y="4665918"/>
          <a:ext cx="1309120" cy="270819"/>
        </a:xfrm>
        <a:prstGeom prst="rect">
          <a:avLst/>
        </a:prstGeom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/>
            <a:t>Inserir</a:t>
          </a:r>
          <a:r>
            <a:rPr lang="pt-BR" sz="1100" baseline="0"/>
            <a:t> Renda Extra</a:t>
          </a:r>
          <a:endParaRPr lang="pt-BR" sz="1100"/>
        </a:p>
      </xdr:txBody>
    </xdr:sp>
    <xdr:clientData/>
  </xdr:twoCellAnchor>
  <xdr:twoCellAnchor>
    <xdr:from>
      <xdr:col>0</xdr:col>
      <xdr:colOff>58369</xdr:colOff>
      <xdr:row>43</xdr:row>
      <xdr:rowOff>22941</xdr:rowOff>
    </xdr:from>
    <xdr:to>
      <xdr:col>0</xdr:col>
      <xdr:colOff>954365</xdr:colOff>
      <xdr:row>44</xdr:row>
      <xdr:rowOff>82090</xdr:rowOff>
    </xdr:to>
    <xdr:sp macro="[0]!LazerOut" textlink="">
      <xdr:nvSpPr>
        <xdr:cNvPr id="10" name="CaixaDeTexto 9">
          <a:extLst>
            <a:ext uri="{FF2B5EF4-FFF2-40B4-BE49-F238E27FC236}">
              <a16:creationId xmlns:a16="http://schemas.microsoft.com/office/drawing/2014/main" id="{26EA837E-7F30-441F-A31F-685B82AEDCD6}"/>
            </a:ext>
          </a:extLst>
        </xdr:cNvPr>
        <xdr:cNvSpPr txBox="1"/>
      </xdr:nvSpPr>
      <xdr:spPr>
        <a:xfrm>
          <a:off x="58369" y="8726410"/>
          <a:ext cx="895996" cy="249649"/>
        </a:xfrm>
        <a:prstGeom prst="rect">
          <a:avLst/>
        </a:prstGeom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/>
            <a:t>Inserir</a:t>
          </a:r>
          <a:r>
            <a:rPr lang="pt-BR" sz="1100" baseline="0"/>
            <a:t> Lazer </a:t>
          </a:r>
          <a:endParaRPr lang="pt-BR" sz="1100"/>
        </a:p>
      </xdr:txBody>
    </xdr:sp>
    <xdr:clientData/>
  </xdr:twoCellAnchor>
  <xdr:twoCellAnchor>
    <xdr:from>
      <xdr:col>4</xdr:col>
      <xdr:colOff>57348</xdr:colOff>
      <xdr:row>43</xdr:row>
      <xdr:rowOff>251</xdr:rowOff>
    </xdr:from>
    <xdr:to>
      <xdr:col>4</xdr:col>
      <xdr:colOff>1369940</xdr:colOff>
      <xdr:row>44</xdr:row>
      <xdr:rowOff>85303</xdr:rowOff>
    </xdr:to>
    <xdr:sp macro="[0]!CompraOut" textlink="">
      <xdr:nvSpPr>
        <xdr:cNvPr id="12" name="CaixaDeTexto 11">
          <a:extLst>
            <a:ext uri="{FF2B5EF4-FFF2-40B4-BE49-F238E27FC236}">
              <a16:creationId xmlns:a16="http://schemas.microsoft.com/office/drawing/2014/main" id="{AF404B72-48B6-4B87-9FF2-308A871EA0AE}"/>
            </a:ext>
          </a:extLst>
        </xdr:cNvPr>
        <xdr:cNvSpPr txBox="1"/>
      </xdr:nvSpPr>
      <xdr:spPr>
        <a:xfrm>
          <a:off x="4866311" y="8561135"/>
          <a:ext cx="1312592" cy="270906"/>
        </a:xfrm>
        <a:prstGeom prst="rect">
          <a:avLst/>
        </a:prstGeom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/>
            <a:t>Inserir</a:t>
          </a:r>
          <a:r>
            <a:rPr lang="pt-BR" sz="1100" baseline="0"/>
            <a:t> Compra</a:t>
          </a:r>
          <a:endParaRPr lang="pt-BR" sz="1100"/>
        </a:p>
      </xdr:txBody>
    </xdr:sp>
    <xdr:clientData/>
  </xdr:twoCellAnchor>
  <xdr:twoCellAnchor>
    <xdr:from>
      <xdr:col>4</xdr:col>
      <xdr:colOff>43905</xdr:colOff>
      <xdr:row>34</xdr:row>
      <xdr:rowOff>70679</xdr:rowOff>
    </xdr:from>
    <xdr:to>
      <xdr:col>4</xdr:col>
      <xdr:colOff>1356497</xdr:colOff>
      <xdr:row>35</xdr:row>
      <xdr:rowOff>132499</xdr:rowOff>
    </xdr:to>
    <xdr:sp macro="[0]!Despesas2Out" textlink="">
      <xdr:nvSpPr>
        <xdr:cNvPr id="14" name="CaixaDeTexto 13">
          <a:extLst>
            <a:ext uri="{FF2B5EF4-FFF2-40B4-BE49-F238E27FC236}">
              <a16:creationId xmlns:a16="http://schemas.microsoft.com/office/drawing/2014/main" id="{B0BD3301-154A-449A-B091-E6E6FCFDF173}"/>
            </a:ext>
          </a:extLst>
        </xdr:cNvPr>
        <xdr:cNvSpPr txBox="1"/>
      </xdr:nvSpPr>
      <xdr:spPr>
        <a:xfrm>
          <a:off x="4854030" y="7062029"/>
          <a:ext cx="1312592" cy="261845"/>
        </a:xfrm>
        <a:prstGeom prst="rect">
          <a:avLst/>
        </a:prstGeom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/>
            <a:t>Inserir</a:t>
          </a:r>
          <a:r>
            <a:rPr lang="pt-BR" sz="1100" baseline="0"/>
            <a:t> </a:t>
          </a:r>
          <a:r>
            <a:rPr lang="pt-BR" sz="1050" baseline="0"/>
            <a:t>Despesas</a:t>
          </a:r>
          <a:endParaRPr lang="pt-BR" sz="1100"/>
        </a:p>
      </xdr:txBody>
    </xdr:sp>
    <xdr:clientData/>
  </xdr:twoCellAnchor>
  <xdr:twoCellAnchor>
    <xdr:from>
      <xdr:col>0</xdr:col>
      <xdr:colOff>69984</xdr:colOff>
      <xdr:row>34</xdr:row>
      <xdr:rowOff>6176</xdr:rowOff>
    </xdr:from>
    <xdr:to>
      <xdr:col>0</xdr:col>
      <xdr:colOff>1185106</xdr:colOff>
      <xdr:row>35</xdr:row>
      <xdr:rowOff>68532</xdr:rowOff>
    </xdr:to>
    <xdr:sp macro="[0]!CuidadosOut" textlink="">
      <xdr:nvSpPr>
        <xdr:cNvPr id="16" name="CaixaDeTexto 15">
          <a:extLst>
            <a:ext uri="{FF2B5EF4-FFF2-40B4-BE49-F238E27FC236}">
              <a16:creationId xmlns:a16="http://schemas.microsoft.com/office/drawing/2014/main" id="{91AFA9FB-2E22-4627-9806-3633ABDC13DA}"/>
            </a:ext>
          </a:extLst>
        </xdr:cNvPr>
        <xdr:cNvSpPr txBox="1"/>
      </xdr:nvSpPr>
      <xdr:spPr>
        <a:xfrm>
          <a:off x="69984" y="6983239"/>
          <a:ext cx="1115122" cy="264762"/>
        </a:xfrm>
        <a:prstGeom prst="rect">
          <a:avLst/>
        </a:prstGeom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/>
            <a:t>Inserir</a:t>
          </a:r>
          <a:r>
            <a:rPr lang="pt-BR" sz="1100" baseline="0"/>
            <a:t> </a:t>
          </a:r>
          <a:r>
            <a:rPr lang="pt-BR" sz="1050" baseline="0"/>
            <a:t>Cuidados</a:t>
          </a:r>
          <a:endParaRPr lang="pt-BR" sz="1100"/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142875</xdr:colOff>
      <xdr:row>1</xdr:row>
      <xdr:rowOff>0</xdr:rowOff>
    </xdr:from>
    <xdr:to>
      <xdr:col>8</xdr:col>
      <xdr:colOff>28575</xdr:colOff>
      <xdr:row>1</xdr:row>
      <xdr:rowOff>47625</xdr:rowOff>
    </xdr:to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BB9760E6-44E0-4ADB-A82A-54AED5EA91C5}"/>
            </a:ext>
          </a:extLst>
        </xdr:cNvPr>
        <xdr:cNvSpPr/>
      </xdr:nvSpPr>
      <xdr:spPr>
        <a:xfrm>
          <a:off x="9810750" y="438150"/>
          <a:ext cx="1552575" cy="47625"/>
        </a:xfrm>
        <a:prstGeom prst="rect">
          <a:avLst/>
        </a:prstGeom>
        <a:noFill/>
        <a:ln>
          <a:noFill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800" b="0" cap="none" spc="0">
              <a:ln w="0">
                <a:noFill/>
              </a:ln>
              <a:solidFill>
                <a:schemeClr val="bg1"/>
              </a:solidFill>
              <a:effectLst/>
            </a:rPr>
            <a:t>Janeiro</a:t>
          </a:r>
        </a:p>
      </xdr:txBody>
    </xdr:sp>
    <xdr:clientData/>
  </xdr:twoCellAnchor>
  <xdr:twoCellAnchor>
    <xdr:from>
      <xdr:col>6</xdr:col>
      <xdr:colOff>439311</xdr:colOff>
      <xdr:row>0</xdr:row>
      <xdr:rowOff>354284</xdr:rowOff>
    </xdr:from>
    <xdr:to>
      <xdr:col>7</xdr:col>
      <xdr:colOff>642648</xdr:colOff>
      <xdr:row>2</xdr:row>
      <xdr:rowOff>79861</xdr:rowOff>
    </xdr:to>
    <xdr:sp macro="" textlink="">
      <xdr:nvSpPr>
        <xdr:cNvPr id="3" name="Retângulo 2">
          <a:extLst>
            <a:ext uri="{FF2B5EF4-FFF2-40B4-BE49-F238E27FC236}">
              <a16:creationId xmlns:a16="http://schemas.microsoft.com/office/drawing/2014/main" id="{004A10A6-8B4A-457B-8F6D-526A4A46631C}"/>
            </a:ext>
          </a:extLst>
        </xdr:cNvPr>
        <xdr:cNvSpPr/>
      </xdr:nvSpPr>
      <xdr:spPr>
        <a:xfrm>
          <a:off x="8372939" y="354284"/>
          <a:ext cx="1934099" cy="399297"/>
        </a:xfrm>
        <a:prstGeom prst="rect">
          <a:avLst/>
        </a:prstGeom>
        <a:noFill/>
        <a:ln>
          <a:noFill/>
        </a:ln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pt-BR" sz="1800" b="1">
              <a:solidFill>
                <a:schemeClr val="bg1"/>
              </a:solidFill>
            </a:rPr>
            <a:t>Novembro</a:t>
          </a:r>
        </a:p>
      </xdr:txBody>
    </xdr:sp>
    <xdr:clientData/>
  </xdr:twoCellAnchor>
  <xdr:twoCellAnchor>
    <xdr:from>
      <xdr:col>3</xdr:col>
      <xdr:colOff>329592</xdr:colOff>
      <xdr:row>3</xdr:row>
      <xdr:rowOff>160069</xdr:rowOff>
    </xdr:from>
    <xdr:to>
      <xdr:col>6</xdr:col>
      <xdr:colOff>568879</xdr:colOff>
      <xdr:row>18</xdr:row>
      <xdr:rowOff>44841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4B2E895E-0AC7-45FE-B13F-F52A5D25D1E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677526</xdr:colOff>
      <xdr:row>3</xdr:row>
      <xdr:rowOff>172616</xdr:rowOff>
    </xdr:from>
    <xdr:to>
      <xdr:col>9</xdr:col>
      <xdr:colOff>371708</xdr:colOff>
      <xdr:row>18</xdr:row>
      <xdr:rowOff>45770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E3474EF9-0C9C-44F9-882E-03E039C95D1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37069</xdr:colOff>
      <xdr:row>21</xdr:row>
      <xdr:rowOff>49203</xdr:rowOff>
    </xdr:from>
    <xdr:to>
      <xdr:col>4</xdr:col>
      <xdr:colOff>1661982</xdr:colOff>
      <xdr:row>22</xdr:row>
      <xdr:rowOff>116812</xdr:rowOff>
    </xdr:to>
    <xdr:sp macro="[0]!DespesasNov" textlink="">
      <xdr:nvSpPr>
        <xdr:cNvPr id="6" name="CaixaDeTexto 5">
          <a:extLst>
            <a:ext uri="{FF2B5EF4-FFF2-40B4-BE49-F238E27FC236}">
              <a16:creationId xmlns:a16="http://schemas.microsoft.com/office/drawing/2014/main" id="{31C87356-E535-4317-B72F-0C13D8A13895}"/>
            </a:ext>
          </a:extLst>
        </xdr:cNvPr>
        <xdr:cNvSpPr txBox="1"/>
      </xdr:nvSpPr>
      <xdr:spPr>
        <a:xfrm>
          <a:off x="4846032" y="4509691"/>
          <a:ext cx="1624913" cy="253462"/>
        </a:xfrm>
        <a:prstGeom prst="rect">
          <a:avLst/>
        </a:prstGeom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1100"/>
            <a:t>Inserir</a:t>
          </a:r>
          <a:r>
            <a:rPr lang="pt-BR" sz="1100" baseline="0"/>
            <a:t> Despesas</a:t>
          </a:r>
          <a:endParaRPr lang="pt-BR" sz="1100"/>
        </a:p>
      </xdr:txBody>
    </xdr:sp>
    <xdr:clientData/>
  </xdr:twoCellAnchor>
  <xdr:twoCellAnchor>
    <xdr:from>
      <xdr:col>0</xdr:col>
      <xdr:colOff>38450</xdr:colOff>
      <xdr:row>21</xdr:row>
      <xdr:rowOff>7961</xdr:rowOff>
    </xdr:from>
    <xdr:to>
      <xdr:col>0</xdr:col>
      <xdr:colOff>1347570</xdr:colOff>
      <xdr:row>22</xdr:row>
      <xdr:rowOff>92927</xdr:rowOff>
    </xdr:to>
    <xdr:sp macro="[0]!RendaNov" textlink="">
      <xdr:nvSpPr>
        <xdr:cNvPr id="8" name="CaixaDeTexto 7">
          <a:extLst>
            <a:ext uri="{FF2B5EF4-FFF2-40B4-BE49-F238E27FC236}">
              <a16:creationId xmlns:a16="http://schemas.microsoft.com/office/drawing/2014/main" id="{9C4D8DD1-7777-40E9-A431-317C2653F4E5}"/>
            </a:ext>
          </a:extLst>
        </xdr:cNvPr>
        <xdr:cNvSpPr txBox="1"/>
      </xdr:nvSpPr>
      <xdr:spPr>
        <a:xfrm>
          <a:off x="38450" y="4468449"/>
          <a:ext cx="1309120" cy="270819"/>
        </a:xfrm>
        <a:prstGeom prst="rect">
          <a:avLst/>
        </a:prstGeom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/>
            <a:t>Inserir</a:t>
          </a:r>
          <a:r>
            <a:rPr lang="pt-BR" sz="1100" baseline="0"/>
            <a:t> Renda Extra</a:t>
          </a:r>
          <a:endParaRPr lang="pt-BR" sz="1100"/>
        </a:p>
      </xdr:txBody>
    </xdr:sp>
    <xdr:clientData/>
  </xdr:twoCellAnchor>
  <xdr:twoCellAnchor>
    <xdr:from>
      <xdr:col>0</xdr:col>
      <xdr:colOff>81312</xdr:colOff>
      <xdr:row>42</xdr:row>
      <xdr:rowOff>58079</xdr:rowOff>
    </xdr:from>
    <xdr:to>
      <xdr:col>0</xdr:col>
      <xdr:colOff>977308</xdr:colOff>
      <xdr:row>43</xdr:row>
      <xdr:rowOff>117228</xdr:rowOff>
    </xdr:to>
    <xdr:sp macro="[0]!LazerNov" textlink="">
      <xdr:nvSpPr>
        <xdr:cNvPr id="10" name="CaixaDeTexto 9">
          <a:extLst>
            <a:ext uri="{FF2B5EF4-FFF2-40B4-BE49-F238E27FC236}">
              <a16:creationId xmlns:a16="http://schemas.microsoft.com/office/drawing/2014/main" id="{DB9E34F5-E6FA-49CF-A283-9648F1584615}"/>
            </a:ext>
          </a:extLst>
        </xdr:cNvPr>
        <xdr:cNvSpPr txBox="1"/>
      </xdr:nvSpPr>
      <xdr:spPr>
        <a:xfrm>
          <a:off x="81312" y="8618963"/>
          <a:ext cx="895996" cy="245003"/>
        </a:xfrm>
        <a:prstGeom prst="rect">
          <a:avLst/>
        </a:prstGeom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/>
            <a:t>Inserir</a:t>
          </a:r>
          <a:r>
            <a:rPr lang="pt-BR" sz="1100" baseline="0"/>
            <a:t> Lazer </a:t>
          </a:r>
          <a:endParaRPr lang="pt-BR" sz="1100"/>
        </a:p>
      </xdr:txBody>
    </xdr:sp>
    <xdr:clientData/>
  </xdr:twoCellAnchor>
  <xdr:twoCellAnchor>
    <xdr:from>
      <xdr:col>4</xdr:col>
      <xdr:colOff>57347</xdr:colOff>
      <xdr:row>41</xdr:row>
      <xdr:rowOff>58330</xdr:rowOff>
    </xdr:from>
    <xdr:to>
      <xdr:col>4</xdr:col>
      <xdr:colOff>1369939</xdr:colOff>
      <xdr:row>42</xdr:row>
      <xdr:rowOff>143383</xdr:rowOff>
    </xdr:to>
    <xdr:sp macro="[0]!ComprasNov" textlink="">
      <xdr:nvSpPr>
        <xdr:cNvPr id="12" name="CaixaDeTexto 11">
          <a:extLst>
            <a:ext uri="{FF2B5EF4-FFF2-40B4-BE49-F238E27FC236}">
              <a16:creationId xmlns:a16="http://schemas.microsoft.com/office/drawing/2014/main" id="{1922D977-0D85-4D49-9356-B8E177A5FBAC}"/>
            </a:ext>
          </a:extLst>
        </xdr:cNvPr>
        <xdr:cNvSpPr txBox="1"/>
      </xdr:nvSpPr>
      <xdr:spPr>
        <a:xfrm>
          <a:off x="4866310" y="8619214"/>
          <a:ext cx="1312592" cy="270907"/>
        </a:xfrm>
        <a:prstGeom prst="rect">
          <a:avLst/>
        </a:prstGeom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/>
            <a:t>Inserir</a:t>
          </a:r>
          <a:r>
            <a:rPr lang="pt-BR" sz="1100" baseline="0"/>
            <a:t> Compra</a:t>
          </a:r>
          <a:endParaRPr lang="pt-BR" sz="1100"/>
        </a:p>
      </xdr:txBody>
    </xdr:sp>
    <xdr:clientData/>
  </xdr:twoCellAnchor>
  <xdr:twoCellAnchor>
    <xdr:from>
      <xdr:col>3</xdr:col>
      <xdr:colOff>1193874</xdr:colOff>
      <xdr:row>33</xdr:row>
      <xdr:rowOff>47446</xdr:rowOff>
    </xdr:from>
    <xdr:to>
      <xdr:col>4</xdr:col>
      <xdr:colOff>1298418</xdr:colOff>
      <xdr:row>34</xdr:row>
      <xdr:rowOff>132499</xdr:rowOff>
    </xdr:to>
    <xdr:sp macro="[0]!Despesas2Nov" textlink="">
      <xdr:nvSpPr>
        <xdr:cNvPr id="14" name="CaixaDeTexto 13">
          <a:extLst>
            <a:ext uri="{FF2B5EF4-FFF2-40B4-BE49-F238E27FC236}">
              <a16:creationId xmlns:a16="http://schemas.microsoft.com/office/drawing/2014/main" id="{014A72FF-E5AA-4343-859A-E7EAEACC50B7}"/>
            </a:ext>
          </a:extLst>
        </xdr:cNvPr>
        <xdr:cNvSpPr txBox="1"/>
      </xdr:nvSpPr>
      <xdr:spPr>
        <a:xfrm>
          <a:off x="4794789" y="6738178"/>
          <a:ext cx="1312592" cy="270906"/>
        </a:xfrm>
        <a:prstGeom prst="rect">
          <a:avLst/>
        </a:prstGeom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/>
            <a:t>Inserir</a:t>
          </a:r>
          <a:r>
            <a:rPr lang="pt-BR" sz="1100" baseline="0"/>
            <a:t> </a:t>
          </a:r>
          <a:r>
            <a:rPr lang="pt-BR" sz="1050" baseline="0"/>
            <a:t>Despesas</a:t>
          </a:r>
          <a:endParaRPr lang="pt-BR" sz="1100"/>
        </a:p>
      </xdr:txBody>
    </xdr:sp>
    <xdr:clientData/>
  </xdr:twoCellAnchor>
  <xdr:twoCellAnchor>
    <xdr:from>
      <xdr:col>0</xdr:col>
      <xdr:colOff>58080</xdr:colOff>
      <xdr:row>34</xdr:row>
      <xdr:rowOff>65127</xdr:rowOff>
    </xdr:from>
    <xdr:to>
      <xdr:col>0</xdr:col>
      <xdr:colOff>1370672</xdr:colOff>
      <xdr:row>35</xdr:row>
      <xdr:rowOff>126948</xdr:rowOff>
    </xdr:to>
    <xdr:sp macro="[0]!CuidadosNov" textlink="">
      <xdr:nvSpPr>
        <xdr:cNvPr id="16" name="CaixaDeTexto 15">
          <a:extLst>
            <a:ext uri="{FF2B5EF4-FFF2-40B4-BE49-F238E27FC236}">
              <a16:creationId xmlns:a16="http://schemas.microsoft.com/office/drawing/2014/main" id="{51E9BEEB-178E-49B2-AF46-1A7CF22708AB}"/>
            </a:ext>
          </a:extLst>
        </xdr:cNvPr>
        <xdr:cNvSpPr txBox="1"/>
      </xdr:nvSpPr>
      <xdr:spPr>
        <a:xfrm>
          <a:off x="58080" y="6941712"/>
          <a:ext cx="1312592" cy="247675"/>
        </a:xfrm>
        <a:prstGeom prst="rect">
          <a:avLst/>
        </a:prstGeom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/>
            <a:t>Inserir</a:t>
          </a:r>
          <a:r>
            <a:rPr lang="pt-BR" sz="1100" baseline="0"/>
            <a:t> </a:t>
          </a:r>
          <a:r>
            <a:rPr lang="pt-BR" sz="1050" baseline="0"/>
            <a:t>Cuidados</a:t>
          </a:r>
          <a:endParaRPr lang="pt-BR" sz="1100"/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142875</xdr:colOff>
      <xdr:row>1</xdr:row>
      <xdr:rowOff>0</xdr:rowOff>
    </xdr:from>
    <xdr:to>
      <xdr:col>8</xdr:col>
      <xdr:colOff>28575</xdr:colOff>
      <xdr:row>1</xdr:row>
      <xdr:rowOff>47625</xdr:rowOff>
    </xdr:to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1C5803B3-2B3C-4774-9C08-690382739EBB}"/>
            </a:ext>
          </a:extLst>
        </xdr:cNvPr>
        <xdr:cNvSpPr/>
      </xdr:nvSpPr>
      <xdr:spPr>
        <a:xfrm>
          <a:off x="9810750" y="438150"/>
          <a:ext cx="1552575" cy="47625"/>
        </a:xfrm>
        <a:prstGeom prst="rect">
          <a:avLst/>
        </a:prstGeom>
        <a:noFill/>
        <a:ln>
          <a:noFill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800" b="0" cap="none" spc="0">
              <a:ln w="0">
                <a:noFill/>
              </a:ln>
              <a:solidFill>
                <a:schemeClr val="bg1"/>
              </a:solidFill>
              <a:effectLst/>
            </a:rPr>
            <a:t>Janeiro</a:t>
          </a:r>
        </a:p>
      </xdr:txBody>
    </xdr:sp>
    <xdr:clientData/>
  </xdr:twoCellAnchor>
  <xdr:twoCellAnchor>
    <xdr:from>
      <xdr:col>6</xdr:col>
      <xdr:colOff>416080</xdr:colOff>
      <xdr:row>0</xdr:row>
      <xdr:rowOff>354283</xdr:rowOff>
    </xdr:from>
    <xdr:to>
      <xdr:col>7</xdr:col>
      <xdr:colOff>619417</xdr:colOff>
      <xdr:row>2</xdr:row>
      <xdr:rowOff>79860</xdr:rowOff>
    </xdr:to>
    <xdr:sp macro="" textlink="">
      <xdr:nvSpPr>
        <xdr:cNvPr id="3" name="Retângulo 2">
          <a:extLst>
            <a:ext uri="{FF2B5EF4-FFF2-40B4-BE49-F238E27FC236}">
              <a16:creationId xmlns:a16="http://schemas.microsoft.com/office/drawing/2014/main" id="{1AE1CDB8-DDEF-4B91-BA70-6FB5475F0581}"/>
            </a:ext>
          </a:extLst>
        </xdr:cNvPr>
        <xdr:cNvSpPr/>
      </xdr:nvSpPr>
      <xdr:spPr>
        <a:xfrm>
          <a:off x="8349708" y="354283"/>
          <a:ext cx="1934099" cy="399297"/>
        </a:xfrm>
        <a:prstGeom prst="rect">
          <a:avLst/>
        </a:prstGeom>
        <a:noFill/>
        <a:ln>
          <a:noFill/>
        </a:ln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pt-BR" sz="1800" b="1">
              <a:solidFill>
                <a:schemeClr val="bg1"/>
              </a:solidFill>
            </a:rPr>
            <a:t>Dezembro</a:t>
          </a:r>
        </a:p>
      </xdr:txBody>
    </xdr:sp>
    <xdr:clientData/>
  </xdr:twoCellAnchor>
  <xdr:twoCellAnchor>
    <xdr:from>
      <xdr:col>3</xdr:col>
      <xdr:colOff>329592</xdr:colOff>
      <xdr:row>3</xdr:row>
      <xdr:rowOff>160069</xdr:rowOff>
    </xdr:from>
    <xdr:to>
      <xdr:col>6</xdr:col>
      <xdr:colOff>568879</xdr:colOff>
      <xdr:row>18</xdr:row>
      <xdr:rowOff>44841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8E2C57BB-EC5A-434B-A65B-B0F80A2E036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677526</xdr:colOff>
      <xdr:row>3</xdr:row>
      <xdr:rowOff>172616</xdr:rowOff>
    </xdr:from>
    <xdr:to>
      <xdr:col>9</xdr:col>
      <xdr:colOff>371708</xdr:colOff>
      <xdr:row>18</xdr:row>
      <xdr:rowOff>45770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2A54CEEA-D03B-4BC6-B63E-03872D1A537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</xdr:col>
      <xdr:colOff>1198653</xdr:colOff>
      <xdr:row>22</xdr:row>
      <xdr:rowOff>60819</xdr:rowOff>
    </xdr:from>
    <xdr:to>
      <xdr:col>4</xdr:col>
      <xdr:colOff>1615518</xdr:colOff>
      <xdr:row>23</xdr:row>
      <xdr:rowOff>128427</xdr:rowOff>
    </xdr:to>
    <xdr:sp macro="[0]!InserirDespesa" textlink="">
      <xdr:nvSpPr>
        <xdr:cNvPr id="6" name="CaixaDeTexto 5">
          <a:extLst>
            <a:ext uri="{FF2B5EF4-FFF2-40B4-BE49-F238E27FC236}">
              <a16:creationId xmlns:a16="http://schemas.microsoft.com/office/drawing/2014/main" id="{575768C1-A0F0-48BF-89D6-7746E40CBDA9}"/>
            </a:ext>
          </a:extLst>
        </xdr:cNvPr>
        <xdr:cNvSpPr txBox="1"/>
      </xdr:nvSpPr>
      <xdr:spPr>
        <a:xfrm>
          <a:off x="4799103" y="4766169"/>
          <a:ext cx="1626540" cy="258108"/>
        </a:xfrm>
        <a:prstGeom prst="rect">
          <a:avLst/>
        </a:prstGeom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1100"/>
            <a:t>Inserir</a:t>
          </a:r>
          <a:r>
            <a:rPr lang="pt-BR" sz="1100" baseline="0"/>
            <a:t> Despesas</a:t>
          </a:r>
          <a:endParaRPr lang="pt-BR" sz="1100"/>
        </a:p>
      </xdr:txBody>
    </xdr:sp>
    <xdr:clientData/>
  </xdr:twoCellAnchor>
  <xdr:twoCellAnchor>
    <xdr:from>
      <xdr:col>0</xdr:col>
      <xdr:colOff>50066</xdr:colOff>
      <xdr:row>22</xdr:row>
      <xdr:rowOff>19577</xdr:rowOff>
    </xdr:from>
    <xdr:to>
      <xdr:col>0</xdr:col>
      <xdr:colOff>1359186</xdr:colOff>
      <xdr:row>23</xdr:row>
      <xdr:rowOff>104542</xdr:rowOff>
    </xdr:to>
    <xdr:sp macro="[0]!InserirRenda" textlink="">
      <xdr:nvSpPr>
        <xdr:cNvPr id="8" name="CaixaDeTexto 7">
          <a:extLst>
            <a:ext uri="{FF2B5EF4-FFF2-40B4-BE49-F238E27FC236}">
              <a16:creationId xmlns:a16="http://schemas.microsoft.com/office/drawing/2014/main" id="{BFC220F0-7217-4606-93B4-67584B31796C}"/>
            </a:ext>
          </a:extLst>
        </xdr:cNvPr>
        <xdr:cNvSpPr txBox="1"/>
      </xdr:nvSpPr>
      <xdr:spPr>
        <a:xfrm>
          <a:off x="50066" y="4724927"/>
          <a:ext cx="1309120" cy="275465"/>
        </a:xfrm>
        <a:prstGeom prst="rect">
          <a:avLst/>
        </a:prstGeom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/>
            <a:t>Inserir</a:t>
          </a:r>
          <a:r>
            <a:rPr lang="pt-BR" sz="1100" baseline="0"/>
            <a:t> Renda Extra</a:t>
          </a:r>
          <a:endParaRPr lang="pt-BR" sz="1100"/>
        </a:p>
      </xdr:txBody>
    </xdr:sp>
    <xdr:clientData/>
  </xdr:twoCellAnchor>
  <xdr:twoCellAnchor>
    <xdr:from>
      <xdr:col>0</xdr:col>
      <xdr:colOff>0</xdr:colOff>
      <xdr:row>48</xdr:row>
      <xdr:rowOff>81311</xdr:rowOff>
    </xdr:from>
    <xdr:to>
      <xdr:col>0</xdr:col>
      <xdr:colOff>895996</xdr:colOff>
      <xdr:row>49</xdr:row>
      <xdr:rowOff>140461</xdr:rowOff>
    </xdr:to>
    <xdr:sp macro="[0]!InserirLazer" textlink="">
      <xdr:nvSpPr>
        <xdr:cNvPr id="10" name="CaixaDeTexto 9">
          <a:extLst>
            <a:ext uri="{FF2B5EF4-FFF2-40B4-BE49-F238E27FC236}">
              <a16:creationId xmlns:a16="http://schemas.microsoft.com/office/drawing/2014/main" id="{75812663-DF83-4523-BB88-4886476DC8D8}"/>
            </a:ext>
          </a:extLst>
        </xdr:cNvPr>
        <xdr:cNvSpPr txBox="1"/>
      </xdr:nvSpPr>
      <xdr:spPr>
        <a:xfrm>
          <a:off x="0" y="9749186"/>
          <a:ext cx="895996" cy="249650"/>
        </a:xfrm>
        <a:prstGeom prst="rect">
          <a:avLst/>
        </a:prstGeom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/>
            <a:t>Inserir</a:t>
          </a:r>
          <a:r>
            <a:rPr lang="pt-BR" sz="1100" baseline="0"/>
            <a:t> Lazer </a:t>
          </a:r>
          <a:endParaRPr lang="pt-BR" sz="1100"/>
        </a:p>
      </xdr:txBody>
    </xdr:sp>
    <xdr:clientData/>
  </xdr:twoCellAnchor>
  <xdr:twoCellAnchor>
    <xdr:from>
      <xdr:col>4</xdr:col>
      <xdr:colOff>57348</xdr:colOff>
      <xdr:row>49</xdr:row>
      <xdr:rowOff>69946</xdr:rowOff>
    </xdr:from>
    <xdr:to>
      <xdr:col>4</xdr:col>
      <xdr:colOff>1369940</xdr:colOff>
      <xdr:row>50</xdr:row>
      <xdr:rowOff>154999</xdr:rowOff>
    </xdr:to>
    <xdr:sp macro="[0]!IncluirCompra" textlink="">
      <xdr:nvSpPr>
        <xdr:cNvPr id="12" name="CaixaDeTexto 11">
          <a:extLst>
            <a:ext uri="{FF2B5EF4-FFF2-40B4-BE49-F238E27FC236}">
              <a16:creationId xmlns:a16="http://schemas.microsoft.com/office/drawing/2014/main" id="{32B3D951-8FA7-46A9-91A6-8619A72D8712}"/>
            </a:ext>
          </a:extLst>
        </xdr:cNvPr>
        <xdr:cNvSpPr txBox="1"/>
      </xdr:nvSpPr>
      <xdr:spPr>
        <a:xfrm>
          <a:off x="4867473" y="9928321"/>
          <a:ext cx="1312592" cy="275553"/>
        </a:xfrm>
        <a:prstGeom prst="rect">
          <a:avLst/>
        </a:prstGeom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/>
            <a:t>Inserir</a:t>
          </a:r>
          <a:r>
            <a:rPr lang="pt-BR" sz="1100" baseline="0"/>
            <a:t> Compra</a:t>
          </a:r>
          <a:endParaRPr lang="pt-BR" sz="1100"/>
        </a:p>
      </xdr:txBody>
    </xdr:sp>
    <xdr:clientData/>
  </xdr:twoCellAnchor>
  <xdr:twoCellAnchor>
    <xdr:from>
      <xdr:col>4</xdr:col>
      <xdr:colOff>43905</xdr:colOff>
      <xdr:row>34</xdr:row>
      <xdr:rowOff>70679</xdr:rowOff>
    </xdr:from>
    <xdr:to>
      <xdr:col>4</xdr:col>
      <xdr:colOff>1356497</xdr:colOff>
      <xdr:row>35</xdr:row>
      <xdr:rowOff>132499</xdr:rowOff>
    </xdr:to>
    <xdr:sp macro="[0]!IncluirDespesasNao" textlink="">
      <xdr:nvSpPr>
        <xdr:cNvPr id="14" name="CaixaDeTexto 13">
          <a:extLst>
            <a:ext uri="{FF2B5EF4-FFF2-40B4-BE49-F238E27FC236}">
              <a16:creationId xmlns:a16="http://schemas.microsoft.com/office/drawing/2014/main" id="{F86FDC12-07CC-4FA6-8FC5-62155048EEA2}"/>
            </a:ext>
          </a:extLst>
        </xdr:cNvPr>
        <xdr:cNvSpPr txBox="1"/>
      </xdr:nvSpPr>
      <xdr:spPr>
        <a:xfrm>
          <a:off x="4854030" y="7062029"/>
          <a:ext cx="1312592" cy="261845"/>
        </a:xfrm>
        <a:prstGeom prst="rect">
          <a:avLst/>
        </a:prstGeom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/>
            <a:t>Inserir</a:t>
          </a:r>
          <a:r>
            <a:rPr lang="pt-BR" sz="1100" baseline="0"/>
            <a:t> </a:t>
          </a:r>
          <a:r>
            <a:rPr lang="pt-BR" sz="1050" baseline="0"/>
            <a:t>Despesas</a:t>
          </a:r>
          <a:endParaRPr lang="pt-BR" sz="1100"/>
        </a:p>
      </xdr:txBody>
    </xdr:sp>
    <xdr:clientData/>
  </xdr:twoCellAnchor>
  <xdr:twoCellAnchor>
    <xdr:from>
      <xdr:col>0</xdr:col>
      <xdr:colOff>0</xdr:colOff>
      <xdr:row>33</xdr:row>
      <xdr:rowOff>41895</xdr:rowOff>
    </xdr:from>
    <xdr:to>
      <xdr:col>0</xdr:col>
      <xdr:colOff>1312592</xdr:colOff>
      <xdr:row>34</xdr:row>
      <xdr:rowOff>103716</xdr:rowOff>
    </xdr:to>
    <xdr:sp macro="[0]!InserirCuidado" textlink="">
      <xdr:nvSpPr>
        <xdr:cNvPr id="16" name="CaixaDeTexto 15">
          <a:extLst>
            <a:ext uri="{FF2B5EF4-FFF2-40B4-BE49-F238E27FC236}">
              <a16:creationId xmlns:a16="http://schemas.microsoft.com/office/drawing/2014/main" id="{A16AC699-7D81-411B-AF63-21A2C4394929}"/>
            </a:ext>
          </a:extLst>
        </xdr:cNvPr>
        <xdr:cNvSpPr txBox="1"/>
      </xdr:nvSpPr>
      <xdr:spPr>
        <a:xfrm>
          <a:off x="0" y="6842745"/>
          <a:ext cx="1312592" cy="252321"/>
        </a:xfrm>
        <a:prstGeom prst="rect">
          <a:avLst/>
        </a:prstGeom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/>
            <a:t>Inserir</a:t>
          </a:r>
          <a:r>
            <a:rPr lang="pt-BR" sz="1100" baseline="0"/>
            <a:t> </a:t>
          </a:r>
          <a:r>
            <a:rPr lang="pt-BR" sz="1050" baseline="0"/>
            <a:t>Cuidados</a:t>
          </a:r>
          <a:endParaRPr lang="pt-BR" sz="1100"/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2" xr:uid="{6559C5F4-3CCA-4D27-8DA4-AEAA4B2B821A}" name="Tabela102" displayName="Tabela102" ref="A18:F31" totalsRowCount="1" headerRowDxfId="636" dataDxfId="635" totalsRowDxfId="633" tableBorderDxfId="634">
  <autoFilter ref="A18:F30" xr:uid="{C81131A6-D3E5-4961-ACC5-171E691BB8CA}"/>
  <tableColumns count="6">
    <tableColumn id="1" xr3:uid="{1E55976D-AFF0-47A1-8136-D71827D40697}" name="Mês" totalsRowLabel="Total" dataDxfId="632" totalsRowDxfId="631"/>
    <tableColumn id="2" xr3:uid="{0C72A8AB-E897-4A3B-9BC5-F6D19D1CAA53}" name="Obrigatórias" totalsRowFunction="sum" dataDxfId="630" totalsRowDxfId="629" dataCellStyle="Moeda"/>
    <tableColumn id="3" xr3:uid="{EA0F1E06-7938-4CEA-9AB9-B0025DAA0ECC}" name="Não Recorrentes " totalsRowFunction="sum" dataDxfId="628" totalsRowDxfId="627" dataCellStyle="Moeda"/>
    <tableColumn id="4" xr3:uid="{61D236C2-1F70-4486-B039-96101F9E174F}" name="Lazer" totalsRowFunction="sum" dataDxfId="626" totalsRowDxfId="625"/>
    <tableColumn id="5" xr3:uid="{8AAB6E3D-07A5-496C-AA64-B507446722B1}" name="Mercado" totalsRowFunction="max" dataDxfId="624" totalsRowDxfId="623"/>
    <tableColumn id="6" xr3:uid="{C9704716-78A5-40F0-A484-ACC28B5D68E9}" name="Cuidados Pessoais" totalsRowFunction="sum" dataDxfId="622" totalsRowDxfId="62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B3EBE7D3-269D-47C0-9186-BF9C9C4DB782}" name="Tabela14" displayName="Tabela14" ref="A8:B13" totalsRowShown="0" dataDxfId="620">
  <autoFilter ref="A8:B13" xr:uid="{9F7A6B77-9778-49E1-888F-5D769D0B35EA}"/>
  <tableColumns count="2">
    <tableColumn id="1" xr3:uid="{0F824453-F1F7-4A9F-A917-9589C5002019}" name="Despesas" dataDxfId="619"/>
    <tableColumn id="3" xr3:uid="{AB359455-8B77-4BED-9BA8-A804833610BE}" name="Total 12 Meses" dataDxfId="618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3" xr:uid="{58D12ECB-5C5E-42F1-B66A-585EDD29EDBB}" name="Tabela103" displayName="Tabela103" ref="H18:K30" totalsRowShown="0" dataDxfId="617">
  <autoFilter ref="H18:K30" xr:uid="{D1BD3E13-7810-4552-BEC4-BAA532A868FC}"/>
  <tableColumns count="4">
    <tableColumn id="1" xr3:uid="{8EC3C342-AD1A-4EC3-A4AD-BACC664DEC91}" name="Mês" dataDxfId="616"/>
    <tableColumn id="2" xr3:uid="{3017303A-A9BF-4BDE-A3CE-E955ABC00269}" name="     Total Despesas" dataDxfId="615"/>
    <tableColumn id="3" xr3:uid="{0BC454A0-E160-411A-BCFD-9474A83144B6}" name="Inflação/Deflação" dataDxfId="614" dataCellStyle="Porcentagem"/>
    <tableColumn id="4" xr3:uid="{BBA69E00-983C-4180-A4DE-2B01CA08BA5D}" name="Análise" dataDxfId="613">
      <calculatedColumnFormula>IF(J19&lt;0,"Reduziu","Aumentou")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B37BD600-4112-48B8-A52E-44DCB6E8AC02}" name="Tabela32" displayName="Tabela32" ref="E25:J26" headerRowDxfId="612" dataDxfId="611">
  <autoFilter ref="E25:J26" xr:uid="{80A322E9-B990-49FE-9185-2E59C2F318D3}"/>
  <tableColumns count="6">
    <tableColumn id="1" xr3:uid="{43DECA04-DFC3-4FB1-8EA5-1495A285C77F}" name="Despesas Obrigatórias" totalsRowLabel="Total" dataDxfId="610" totalsRowDxfId="609"/>
    <tableColumn id="2" xr3:uid="{3B325510-C54F-49CE-A40B-C512DACA921D}" name="Valor" dataDxfId="608" totalsRowDxfId="607" dataCellStyle="Moeda"/>
    <tableColumn id="3" xr3:uid="{A890C3CF-D0CD-409E-A483-473C7DDF5289}" name="Data de Vencimento" dataDxfId="606" totalsRowDxfId="605"/>
    <tableColumn id="4" xr3:uid="{9CE64AA0-5036-477E-B90F-D308B54DD8E9}" name="Data de Pagamento" dataDxfId="604" totalsRowDxfId="603"/>
    <tableColumn id="5" xr3:uid="{723084BE-6000-4174-856B-2CC541D9E2FA}" name="Dias de atraso" dataDxfId="602" totalsRowDxfId="601">
      <calculatedColumnFormula>IF(H26="","Sem data",IF(H26-G26&lt;0,"Pago antes do vencimento",H26-G26))</calculatedColumnFormula>
    </tableColumn>
    <tableColumn id="6" xr3:uid="{21D6B83D-49A0-4623-B6A0-8C9424B2D39C}" name="Status" totalsRowFunction="count" dataDxfId="600" totalsRowDxfId="599">
      <calculatedColumnFormula>IF(I26:I26="Sem data","Pagar","Pago")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5" xr:uid="{E1371332-88FA-41D7-94C4-89F196A3CFF3}" name="Tabela35" displayName="Tabela35" ref="A11:B14" totalsRowShown="0" headerRowDxfId="598" dataDxfId="597" headerRowCellStyle="Moeda" dataCellStyle="Moeda">
  <autoFilter ref="A11:B14" xr:uid="{A96EC1EC-AD3E-47F5-8830-577808F94595}"/>
  <tableColumns count="2">
    <tableColumn id="1" xr3:uid="{52FA7A65-CDF9-4D32-B637-07A58B43DA00}" name="Saldo Líquido" dataDxfId="596" dataCellStyle="Moeda"/>
    <tableColumn id="2" xr3:uid="{9E2DC7D3-0344-4DC4-8E29-51EADC6F05AB}" name=" Valores " dataDxfId="595" dataCellStyle="Moeda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EA4858B-1AD9-453C-8322-435A5E9E87CC}" name="Tabela4" displayName="Tabela4" ref="E33:J34" totalsRowShown="0" headerRowDxfId="594" dataDxfId="593">
  <autoFilter ref="E33:J34" xr:uid="{B444264C-C631-4213-AC2F-8E7EC88339EE}"/>
  <tableColumns count="6">
    <tableColumn id="1" xr3:uid="{11B74422-E20C-4A4F-85E0-3CCB83D5A949}" name="Despesas Não Recorrentes" dataDxfId="592"/>
    <tableColumn id="2" xr3:uid="{A5DDDF52-ACEE-4524-9CB0-D5A803AC513E}" name="Valor" dataDxfId="591" dataCellStyle="Moeda"/>
    <tableColumn id="3" xr3:uid="{313E7C25-36D3-4A5A-9C14-A07346A7BBD2}" name="Data de Pagamento" dataDxfId="590"/>
    <tableColumn id="4" xr3:uid="{2FE09539-E047-49F6-9205-63FD881CA3CA}" name="Descrição" dataDxfId="589"/>
    <tableColumn id="5" xr3:uid="{8E629D2A-F492-47C6-A984-2820A06874B1}" name="Forma de Pagamento" dataDxfId="588"/>
    <tableColumn id="6" xr3:uid="{ABBB9DBB-9C41-45FB-8F01-F2B534351A65}" name="Status" dataDxfId="587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5C06ED2-0B96-49E8-A67D-AC6FC6503B32}" name="Tabela6" displayName="Tabela6" ref="E41:H42" totalsRowShown="0" headerRowDxfId="586" dataDxfId="585">
  <autoFilter ref="E41:H42" xr:uid="{6D56F5C9-55DC-4C17-8DBD-57EA33F134A7}"/>
  <tableColumns count="4">
    <tableColumn id="1" xr3:uid="{49F9B410-F7CC-44E7-A23F-E895D16CED19}" name="Mercado" dataDxfId="584"/>
    <tableColumn id="2" xr3:uid="{4F10E4E7-6344-49B2-8FFA-73D52AB97734}" name="Valor" dataDxfId="583" dataCellStyle="Moeda"/>
    <tableColumn id="3" xr3:uid="{8127CA69-674A-44AB-AD72-B14BC2AC6703}" name="Total de itens" dataDxfId="582"/>
    <tableColumn id="4" xr3:uid="{874856F5-8FC1-4CDE-A7D3-79242370F8B4}" name="Data" dataDxfId="581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54BD9178-2E89-4822-BC08-418DA7DD1529}" name="Tabela7" displayName="Tabela7" ref="A33:C34" totalsRowShown="0" headerRowDxfId="580" dataDxfId="579">
  <autoFilter ref="A33:C34" xr:uid="{CE0C1D1B-44E2-4BB9-A602-CC568EE11C40}"/>
  <tableColumns count="3">
    <tableColumn id="1" xr3:uid="{3BB6F641-770F-4C47-958D-988CD9568348}" name="Cuidados Pessoais" dataDxfId="578"/>
    <tableColumn id="2" xr3:uid="{93ACC45D-2D9A-4F39-8EE9-AD58A8C4019D}" name="Valor" dataDxfId="577"/>
    <tableColumn id="3" xr3:uid="{817323D5-0533-40D9-90B8-5376A05E9A4D}" name="Data" dataDxfId="576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93A0CEA-5632-4A4A-BF27-076D8DDDC16F}" name="Tabela74" displayName="Tabela74" ref="A40:C41" totalsRowShown="0" headerRowDxfId="575" dataDxfId="574">
  <autoFilter ref="A40:C41" xr:uid="{3C276011-AF9C-44BA-BEBF-5E51E325C862}"/>
  <tableColumns count="3">
    <tableColumn id="1" xr3:uid="{585B4AE2-6E11-4A73-8784-808F70A0B88A}" name="Lazer" dataDxfId="573"/>
    <tableColumn id="2" xr3:uid="{CFED02A7-2308-47A3-9D11-D55A0534043F}" name="Valor" dataDxfId="572"/>
    <tableColumn id="3" xr3:uid="{9B020F1A-EE81-472B-87F6-88B823A17281}" name="Data" dataDxfId="571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5EBFC98E-FBB4-4D39-B9CE-AA084978F44F}" name="Tabela746" displayName="Tabela746" ref="A25:C26" totalsRowShown="0" headerRowDxfId="570" dataDxfId="569">
  <autoFilter ref="A25:C26" xr:uid="{F6423AA8-8951-428D-B352-F56C76120CC5}"/>
  <tableColumns count="3">
    <tableColumn id="1" xr3:uid="{B784179F-75BF-477B-9D2E-102A35924100}" name="Renda Extra" dataDxfId="568"/>
    <tableColumn id="2" xr3:uid="{10735DFA-F2E4-455B-8730-557313A72E1E}" name="Valor" dataDxfId="567" dataCellStyle="Moeda"/>
    <tableColumn id="3" xr3:uid="{B5020AA0-A249-4B23-815B-624BAA94354A}" name="Data" dataDxfId="566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9D3A652F-8153-424A-9C11-75299D6F35F8}" name="Tabela8" displayName="Tabela8" ref="A4:B9" totalsRowShown="0">
  <autoFilter ref="A4:B9" xr:uid="{6D100D71-B3E3-407D-8F30-D38858D68DDE}"/>
  <tableColumns count="2">
    <tableColumn id="1" xr3:uid="{AEE2F7FA-EF85-4CEF-9003-D293B28CF77B}" name="Receitas no mês"/>
    <tableColumn id="2" xr3:uid="{FB4F0C1B-C15F-4C5F-8936-1C165DDBD096}" name="Valores" dataDxfId="565" dataCellStyle="Moeda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24FE135B-1693-4DD3-94F2-B33D68B6CFC2}" name="Tabela3210" displayName="Tabela3210" ref="E25:J26" headerRowDxfId="564" dataDxfId="563">
  <autoFilter ref="E25:J26" xr:uid="{80A322E9-B990-49FE-9185-2E59C2F318D3}"/>
  <tableColumns count="6">
    <tableColumn id="1" xr3:uid="{18D61794-5DFC-4A28-A1A7-A2F9C69E84E8}" name="Despesas Obrigatórias" totalsRowLabel="Total" dataDxfId="562" totalsRowDxfId="561"/>
    <tableColumn id="2" xr3:uid="{7AF6AC10-20BB-4BEE-B4B3-A0A4255CE2F6}" name="Valor" dataDxfId="560" totalsRowDxfId="559" dataCellStyle="Moeda"/>
    <tableColumn id="3" xr3:uid="{14F3A715-7069-4CE4-896C-EA5CA1D2A7DA}" name="Data de Vencimento" dataDxfId="558" totalsRowDxfId="557"/>
    <tableColumn id="4" xr3:uid="{37CB4244-ACB9-4F81-90DA-E3B798F6F143}" name="Data de Pagamento" dataDxfId="556" totalsRowDxfId="555"/>
    <tableColumn id="5" xr3:uid="{4C936628-A673-427F-9420-7C5DA851CDE2}" name="Dias de atraso" dataDxfId="554" totalsRowDxfId="553">
      <calculatedColumnFormula>IF(H26="","Sem data",IF(H26-G26&lt;0,"Pago antes do vencimento",H26-G26))</calculatedColumnFormula>
    </tableColumn>
    <tableColumn id="6" xr3:uid="{4A00361E-BD1D-4ACA-AA0F-EF322F9F48C1}" name="Status" totalsRowFunction="count" dataDxfId="552" totalsRowDxfId="551">
      <calculatedColumnFormula>IF(I26:I26="Sem data","Pagar","Pago")</calculatedColumnFormula>
    </tableColumn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69E64B56-F8B0-4A58-BC77-A0DB07A2A63D}" name="Tabela3511" displayName="Tabela3511" ref="A11:B14" totalsRowShown="0" headerRowDxfId="550" dataDxfId="549" headerRowCellStyle="Moeda" dataCellStyle="Moeda">
  <autoFilter ref="A11:B14" xr:uid="{A96EC1EC-AD3E-47F5-8830-577808F94595}"/>
  <tableColumns count="2">
    <tableColumn id="1" xr3:uid="{851C4956-3C99-40D2-A465-C1411C91AD3B}" name="Saldo Líquido" dataDxfId="548" dataCellStyle="Moeda"/>
    <tableColumn id="2" xr3:uid="{56C868E9-4CC0-4A6C-9174-0EA1E103D431}" name=" Valores " dataDxfId="547" dataCellStyle="Moeda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6F409077-6CA8-49CD-A476-C307F0E757FF}" name="Tabela412" displayName="Tabela412" ref="E32:J33" totalsRowShown="0" headerRowDxfId="546" dataDxfId="545">
  <autoFilter ref="E32:J33" xr:uid="{B444264C-C631-4213-AC2F-8E7EC88339EE}"/>
  <tableColumns count="6">
    <tableColumn id="1" xr3:uid="{64E57E8F-2132-476C-8226-920A822385EC}" name="Despesas Não Recorrentes" dataDxfId="544"/>
    <tableColumn id="2" xr3:uid="{D4678489-B8CE-4302-8EC2-4C77DDA12B58}" name="Valor" dataDxfId="543" dataCellStyle="Moeda"/>
    <tableColumn id="3" xr3:uid="{856DA609-668D-4957-9C00-9321BE0F9EE3}" name="Data de Pagamento" dataDxfId="542"/>
    <tableColumn id="4" xr3:uid="{74960D0F-AD33-4449-A3B0-4F0FFAE9BE8B}" name="Descrição" dataDxfId="541"/>
    <tableColumn id="5" xr3:uid="{ABE96F56-0679-4523-B81A-AD61F9CC6A66}" name="Forma de Pagamento" dataDxfId="540"/>
    <tableColumn id="6" xr3:uid="{A949E988-00F0-48C4-BA52-039189A0CDDB}" name="Status" dataDxfId="539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B12128F4-842F-475E-9246-F4B03D11DD10}" name="Tabela613" displayName="Tabela613" ref="E40:H41" totalsRowShown="0" headerRowDxfId="538" dataDxfId="537">
  <autoFilter ref="E40:H41" xr:uid="{6D56F5C9-55DC-4C17-8DBD-57EA33F134A7}"/>
  <tableColumns count="4">
    <tableColumn id="1" xr3:uid="{674BB8B8-4E67-48F0-9528-2288103B7FB7}" name="Mercado" dataDxfId="536"/>
    <tableColumn id="2" xr3:uid="{12F3B2C3-2314-471C-A925-2BFF8D974AF3}" name="Valor" dataDxfId="535" dataCellStyle="Moeda"/>
    <tableColumn id="3" xr3:uid="{D0103989-75D4-47F1-A8B0-BB2914514EC9}" name="Total de itens" dataDxfId="534"/>
    <tableColumn id="4" xr3:uid="{77F59940-2171-40B0-915E-FA42B90E1F36}" name="Data" dataDxfId="533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827F8777-4249-4888-8BDB-6322D2F24716}" name="Tabela7418" displayName="Tabela7418" ref="A41:C42" totalsRowShown="0" headerRowDxfId="532" dataDxfId="531">
  <autoFilter ref="A41:C42" xr:uid="{3C276011-AF9C-44BA-BEBF-5E51E325C862}"/>
  <tableColumns count="3">
    <tableColumn id="1" xr3:uid="{D7EE1FBA-F355-4043-8D35-75FB11905AAD}" name="Lazer" dataDxfId="530"/>
    <tableColumn id="2" xr3:uid="{A2A73EED-8540-467F-9AA2-515B947C134F}" name="Valor" dataDxfId="529"/>
    <tableColumn id="3" xr3:uid="{6514D383-16E7-4FBE-8F39-F9AAAE10018B}" name="Data" dataDxfId="528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A414DCF3-CA93-406C-952A-BCF9F7303D2A}" name="Tabela74619" displayName="Tabela74619" ref="A25:C26" totalsRowShown="0" headerRowDxfId="527" dataDxfId="526">
  <autoFilter ref="A25:C26" xr:uid="{F6423AA8-8951-428D-B352-F56C76120CC5}"/>
  <tableColumns count="3">
    <tableColumn id="1" xr3:uid="{87134516-5F47-4D03-BDDA-105C8724F2E1}" name="Renda Extra" dataDxfId="525"/>
    <tableColumn id="2" xr3:uid="{AD9B0A8C-A31E-446F-B0D3-679EA7780320}" name="Valor" dataDxfId="524"/>
    <tableColumn id="3" xr3:uid="{319C651D-E212-4848-8EF0-521E04FBFA62}" name="Data" dataDxfId="523"/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7283AEAE-DB6C-4B7C-903E-4921E6A14CF4}" name="Tabela820" displayName="Tabela820" ref="A4:B9" totalsRowShown="0">
  <autoFilter ref="A4:B9" xr:uid="{6D100D71-B3E3-407D-8F30-D38858D68DDE}"/>
  <tableColumns count="2">
    <tableColumn id="1" xr3:uid="{0D7E20A5-FE3A-40D1-B9D4-7B8CECAF0745}" name="Receitas no mês"/>
    <tableColumn id="2" xr3:uid="{724F9483-C4DE-4A17-AA69-95F4824DBD91}" name="Valores" dataDxfId="522" dataCellStyle="Moeda"/>
  </tableColumns>
  <tableStyleInfo name="TableStyleMedium2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F3A5647-A0A3-47CE-9296-CB79515CB407}" name="Tabela74182" displayName="Tabela74182" ref="A33:C34" totalsRowShown="0" headerRowDxfId="521" dataDxfId="520">
  <autoFilter ref="A33:C34" xr:uid="{AF3A5647-A0A3-47CE-9296-CB79515CB407}"/>
  <tableColumns count="3">
    <tableColumn id="1" xr3:uid="{271E7D8D-08ED-4905-908B-0E1F2D3B9A27}" name="Cuidados Pessoais" dataDxfId="519"/>
    <tableColumn id="2" xr3:uid="{A83882CF-E429-4C00-836C-F1338986E772}" name="Valor" dataDxfId="518"/>
    <tableColumn id="3" xr3:uid="{E6D3249E-68FD-43AF-825E-E877E5273D13}" name="Data" dataDxfId="517"/>
  </tableColumns>
  <tableStyleInfo name="TableStyleMedium2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50B3AF19-42B6-4D3A-8E25-353714A8C5BE}" name="Tabela321021" displayName="Tabela321021" ref="E25:J26" headerRowDxfId="516" dataDxfId="515">
  <autoFilter ref="E25:J26" xr:uid="{80A322E9-B990-49FE-9185-2E59C2F318D3}"/>
  <tableColumns count="6">
    <tableColumn id="1" xr3:uid="{C2057846-7D0A-4E4A-B1F4-17D7138F86F7}" name="Despesas Obrigatórias" totalsRowLabel="Total" dataDxfId="514" totalsRowDxfId="513"/>
    <tableColumn id="2" xr3:uid="{28BA373D-A6ED-48E8-8383-8A0268DEB687}" name="Valor" dataDxfId="512" totalsRowDxfId="511" dataCellStyle="Moeda"/>
    <tableColumn id="3" xr3:uid="{A4EE2BE6-E6DC-4D19-BA75-CFBF3CD1A6B7}" name="Data de Vencimento" dataDxfId="510" totalsRowDxfId="509"/>
    <tableColumn id="4" xr3:uid="{D988B1F9-D482-404B-9ED4-D7D6EE4727A4}" name="Data de Pagamento" dataDxfId="508" totalsRowDxfId="507"/>
    <tableColumn id="5" xr3:uid="{00BD4774-C44F-4FD2-B992-A985FF27B3A6}" name="Dias de atraso" dataDxfId="506" totalsRowDxfId="505">
      <calculatedColumnFormula>IF(H26="","Sem data",IF(H26-G26&lt;0,"Pago antes do vencimento",H26-G26))</calculatedColumnFormula>
    </tableColumn>
    <tableColumn id="6" xr3:uid="{486648A8-E943-4BA2-9426-24D0A0BBE25C}" name="Status" totalsRowFunction="count" dataDxfId="504" totalsRowDxfId="503">
      <calculatedColumnFormula>IF(I26:I26="Sem data","Pagar","Pago")</calculatedColumnFormula>
    </tableColumn>
  </tableColumns>
  <tableStyleInfo name="TableStyleMedium2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F021125B-1C73-45FC-98BF-D4959333EE6E}" name="Tabela351122" displayName="Tabela351122" ref="A11:B14" totalsRowShown="0" headerRowDxfId="502" dataDxfId="501" headerRowCellStyle="Moeda" dataCellStyle="Moeda">
  <autoFilter ref="A11:B14" xr:uid="{A96EC1EC-AD3E-47F5-8830-577808F94595}"/>
  <tableColumns count="2">
    <tableColumn id="1" xr3:uid="{71A98A3D-DFA7-4E6C-90CB-9B9ABA5F50F7}" name="Saldo Líquido" dataDxfId="500" dataCellStyle="Moeda"/>
    <tableColumn id="2" xr3:uid="{D20A525C-0E90-48F6-8851-61451FD1623B}" name=" Valores " dataDxfId="499" dataCellStyle="Moeda"/>
  </tableColumns>
  <tableStyleInfo name="TableStyleMedium2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E7393662-7CF1-4073-90E6-7E730B091536}" name="Tabela41223" displayName="Tabela41223" ref="E33:J34" totalsRowShown="0" headerRowDxfId="498" dataDxfId="497">
  <autoFilter ref="E33:J34" xr:uid="{B444264C-C631-4213-AC2F-8E7EC88339EE}"/>
  <tableColumns count="6">
    <tableColumn id="1" xr3:uid="{4185CD09-7486-4442-B140-305875FDDC17}" name="Despesas Não Recorrentes" dataDxfId="496"/>
    <tableColumn id="2" xr3:uid="{C6C920A3-EFE3-410F-85E2-2ECE42184452}" name="Valor" dataDxfId="495" dataCellStyle="Moeda"/>
    <tableColumn id="3" xr3:uid="{A9E97945-725A-4A8B-9626-68BAA0460FC0}" name="Data de Pagamento" dataDxfId="494"/>
    <tableColumn id="4" xr3:uid="{BB425AFC-4677-42C7-8242-741057EA7FAC}" name="Descrição" dataDxfId="493"/>
    <tableColumn id="5" xr3:uid="{E7916988-FD68-490D-9AB3-7E98366B5005}" name="Forma de Pagamento" dataDxfId="492"/>
    <tableColumn id="6" xr3:uid="{C677536A-4178-4AF8-92D9-C02B5497CE80}" name="Status" dataDxfId="491"/>
  </tableColumns>
  <tableStyleInfo name="TableStyleMedium2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9F228DA2-F31D-4862-8B50-17C5955878AB}" name="Tabela61324" displayName="Tabela61324" ref="E42:H43" totalsRowShown="0" headerRowDxfId="490" dataDxfId="489">
  <autoFilter ref="E42:H43" xr:uid="{6D56F5C9-55DC-4C17-8DBD-57EA33F134A7}"/>
  <tableColumns count="4">
    <tableColumn id="1" xr3:uid="{E40F9B30-24A2-4EA6-94D8-24E65F0374F7}" name="Mercado" dataDxfId="488"/>
    <tableColumn id="2" xr3:uid="{54CDDDE5-92D3-4DD8-98E3-CCB460713EA7}" name="Valor" dataDxfId="487" dataCellStyle="Moeda"/>
    <tableColumn id="3" xr3:uid="{5D0F3119-13D8-4792-B436-4E71BCF72450}" name="Total de itens" dataDxfId="486"/>
    <tableColumn id="4" xr3:uid="{75CF6D66-4A83-46EC-8D86-6D2602C6E2EC}" name="Data" dataDxfId="485"/>
  </tableColumns>
  <tableStyleInfo name="TableStyleMedium2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C79BD391-26D3-44D0-9E4E-B19908742B34}" name="Tabela71725" displayName="Tabela71725" ref="A33:C34" totalsRowShown="0" headerRowDxfId="484" dataDxfId="483">
  <autoFilter ref="A33:C34" xr:uid="{CE0C1D1B-44E2-4BB9-A602-CC568EE11C40}"/>
  <tableColumns count="3">
    <tableColumn id="1" xr3:uid="{DA83C39E-56CE-46AE-B0D0-5D0044ECB90B}" name="Cuidados Pessoais" dataDxfId="482"/>
    <tableColumn id="2" xr3:uid="{A70A6154-A9A3-4C25-BB85-9F723517F0AD}" name="Valor" dataDxfId="481"/>
    <tableColumn id="3" xr3:uid="{958A57A2-985F-40AE-9E00-542BBB26DF1D}" name="Data" dataDxfId="480"/>
  </tableColumns>
  <tableStyleInfo name="TableStyleMedium2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090650FE-FA8C-4D8F-91E9-C2996FAEBB55}" name="Tabela741826" displayName="Tabela741826" ref="A42:C43" totalsRowShown="0" headerRowDxfId="479" dataDxfId="478">
  <autoFilter ref="A42:C43" xr:uid="{3C276011-AF9C-44BA-BEBF-5E51E325C862}"/>
  <tableColumns count="3">
    <tableColumn id="1" xr3:uid="{39C8B6D3-C55C-47BA-B91B-3250E65E4955}" name="Lazer" dataDxfId="51"/>
    <tableColumn id="2" xr3:uid="{3F450CEB-6218-4864-9FF7-077ACFC93D90}" name="Valor" dataDxfId="49"/>
    <tableColumn id="3" xr3:uid="{DEABD2CE-D4CB-4F27-94E2-42BEDD11272D}" name="Data" dataDxfId="50"/>
  </tableColumns>
  <tableStyleInfo name="TableStyleMedium2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C087A8D2-8D1E-4152-9058-96151E2E9A2B}" name="Tabela7461927" displayName="Tabela7461927" ref="A25:C26" totalsRowShown="0" headerRowDxfId="477">
  <autoFilter ref="A25:C26" xr:uid="{F6423AA8-8951-428D-B352-F56C76120CC5}"/>
  <tableColumns count="3">
    <tableColumn id="1" xr3:uid="{EF354AA0-6D3D-4D78-A154-CB7477846E77}" name="Renda Extra" dataDxfId="476"/>
    <tableColumn id="2" xr3:uid="{142A2C28-0117-457C-B44D-19D3BF574CD3}" name="Valor" dataDxfId="475"/>
    <tableColumn id="3" xr3:uid="{B7EB9307-D1B1-4015-8CBC-ACC698FEE553}" name="Data" dataDxfId="474"/>
  </tableColumns>
  <tableStyleInfo name="TableStyleMedium2"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87789223-9753-4977-87D0-F767506D3DD9}" name="Tabela82028" displayName="Tabela82028" ref="A4:B9" totalsRowShown="0">
  <autoFilter ref="A4:B9" xr:uid="{6D100D71-B3E3-407D-8F30-D38858D68DDE}"/>
  <tableColumns count="2">
    <tableColumn id="1" xr3:uid="{488C2163-06BE-43C4-A65F-E94B8D5380A1}" name="Receitas no mês"/>
    <tableColumn id="2" xr3:uid="{3FE359DA-618D-409C-9E9A-38450B5C0C05}" name="Valores" dataDxfId="473" dataCellStyle="Moeda"/>
  </tableColumns>
  <tableStyleInfo name="TableStyleMedium2" showFirstColumn="0" showLastColumn="0" showRowStripes="1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15CEAF3A-5258-42DC-8A6D-7D8FF4B43C99}" name="Tabela32102129" displayName="Tabela32102129" ref="E25:J31" headerRowDxfId="472" dataDxfId="471">
  <autoFilter ref="E25:J31" xr:uid="{80A322E9-B990-49FE-9185-2E59C2F318D3}"/>
  <tableColumns count="6">
    <tableColumn id="1" xr3:uid="{7EE07A5E-5A6E-460D-9B17-F1F6BC023640}" name="Despesas Obrigatórias" totalsRowLabel="Total" dataDxfId="470" totalsRowDxfId="469"/>
    <tableColumn id="2" xr3:uid="{DD577582-7224-41A0-8412-D728913A0B00}" name="Valor" dataDxfId="468" totalsRowDxfId="467" dataCellStyle="Moeda"/>
    <tableColumn id="3" xr3:uid="{EA6937C8-E8A7-4DEC-8042-F5759969617F}" name="Data de Vencimento" dataDxfId="466" totalsRowDxfId="465"/>
    <tableColumn id="4" xr3:uid="{0AB90BBB-BBAA-4BB4-A834-67E6281BD7AC}" name="Data de Pagamento" dataDxfId="464" totalsRowDxfId="463"/>
    <tableColumn id="5" xr3:uid="{D80CC858-238F-4507-910A-703AC19CEBF3}" name="Dias de atraso" dataDxfId="462" totalsRowDxfId="461">
      <calculatedColumnFormula>IF(H26="","Sem data",IF(H26-G26&lt;0,"Pago antes do vencimento",H26-G26))</calculatedColumnFormula>
    </tableColumn>
    <tableColumn id="6" xr3:uid="{74E38E6D-D470-4002-B78D-B03381B323EF}" name="Status" totalsRowFunction="count" dataDxfId="460" totalsRowDxfId="459">
      <calculatedColumnFormula>IF(I26:I31="Sem data","Pagar","Pago")</calculatedColumnFormula>
    </tableColumn>
  </tableColumns>
  <tableStyleInfo name="TableStyleMedium2" showFirstColumn="0" showLastColumn="0" showRowStripes="1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EC12ECBF-BD10-403A-B9E8-17F213F26F52}" name="Tabela35112230" displayName="Tabela35112230" ref="A11:B14" totalsRowShown="0" headerRowDxfId="458" dataDxfId="457" headerRowCellStyle="Moeda" dataCellStyle="Moeda">
  <autoFilter ref="A11:B14" xr:uid="{A96EC1EC-AD3E-47F5-8830-577808F94595}"/>
  <tableColumns count="2">
    <tableColumn id="1" xr3:uid="{39D7B287-B649-4680-8EFE-4B02F49216A4}" name="Saldo Líquido" dataDxfId="456" dataCellStyle="Moeda"/>
    <tableColumn id="2" xr3:uid="{A3B869A2-A3C8-4018-A779-3C3BEA392CFD}" name=" Valores " dataDxfId="455" dataCellStyle="Moeda"/>
  </tableColumns>
  <tableStyleInfo name="TableStyleMedium2" showFirstColumn="0" showLastColumn="0" showRowStripes="1" showColumnStripes="0"/>
</table>
</file>

<file path=xl/tables/table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050EBF07-9FD4-46B2-A096-B2D567001282}" name="Tabela4122331" displayName="Tabela4122331" ref="E38:J39" totalsRowShown="0" headerRowDxfId="454" dataDxfId="453">
  <autoFilter ref="E38:J39" xr:uid="{B444264C-C631-4213-AC2F-8E7EC88339EE}"/>
  <tableColumns count="6">
    <tableColumn id="1" xr3:uid="{23D9F33C-A100-4BC1-981E-C29BBAA9A773}" name="Despesas Não Recorrentes" dataDxfId="452"/>
    <tableColumn id="2" xr3:uid="{B446701D-579B-47D6-AFAA-E9A0454EA5F0}" name="Valor" dataDxfId="451" dataCellStyle="Moeda"/>
    <tableColumn id="3" xr3:uid="{45FC4B94-61CB-4721-BF14-317416BB330D}" name="Data de Pagamento" dataDxfId="450"/>
    <tableColumn id="4" xr3:uid="{59AB4FA5-3A53-4C88-A258-822CE190B276}" name="Descrição" dataDxfId="449"/>
    <tableColumn id="5" xr3:uid="{8357656D-B6F2-4418-8894-96570DB943BC}" name="Forma de Pagamento" dataDxfId="448"/>
    <tableColumn id="6" xr3:uid="{56B1F382-70A0-46E9-B39B-DA624E6CBCBC}" name="Status" dataDxfId="447"/>
  </tableColumns>
  <tableStyleInfo name="TableStyleMedium2" showFirstColumn="0" showLastColumn="0" showRowStripes="1" showColumnStripes="0"/>
</table>
</file>

<file path=xl/tables/table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1" xr:uid="{4BC28593-9E73-4F96-8925-81489A61F85C}" name="Tabela6132432" displayName="Tabela6132432" ref="E46:H55" totalsRowShown="0" headerRowDxfId="446" dataDxfId="445">
  <autoFilter ref="E46:H55" xr:uid="{6D56F5C9-55DC-4C17-8DBD-57EA33F134A7}"/>
  <tableColumns count="4">
    <tableColumn id="1" xr3:uid="{41CA7C4C-6DD6-4D90-9B81-B3A001E01EDF}" name="Mercado" dataDxfId="444"/>
    <tableColumn id="2" xr3:uid="{E174B16E-19E3-4D93-8F3C-0329A2D8A4DF}" name="Valor" dataDxfId="443" dataCellStyle="Moeda"/>
    <tableColumn id="3" xr3:uid="{D9BC7DBC-4290-4730-9FC5-5DDB54D6950E}" name="Total de itens" dataDxfId="442"/>
    <tableColumn id="4" xr3:uid="{8FB6BA65-7F8F-4971-AFD9-7B7463B897A9}" name="Data" dataDxfId="441"/>
  </tableColumns>
  <tableStyleInfo name="TableStyleMedium2" showFirstColumn="0" showLastColumn="0" showRowStripes="1" showColumnStripes="0"/>
</table>
</file>

<file path=xl/tables/table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3" xr:uid="{CA1D36C5-4A7F-4B36-B423-1680A6643EB6}" name="Tabela7172534" displayName="Tabela7172534" ref="A37:C38" totalsRowShown="0" headerRowDxfId="440" dataDxfId="439">
  <autoFilter ref="A37:C38" xr:uid="{CE0C1D1B-44E2-4BB9-A602-CC568EE11C40}"/>
  <tableColumns count="3">
    <tableColumn id="1" xr3:uid="{69C2F399-FD22-4BB1-871C-1E332DF9E826}" name="Cuidados Pessoais" dataDxfId="438"/>
    <tableColumn id="2" xr3:uid="{8708500A-4295-424D-9B7A-27DEACD0D205}" name="Valor" dataDxfId="437"/>
    <tableColumn id="3" xr3:uid="{F9A1AB78-E138-4722-85D0-5FD6CE9DC5F7}" name="Data" dataDxfId="436"/>
  </tableColumns>
  <tableStyleInfo name="TableStyleMedium2" showFirstColumn="0" showLastColumn="0" showRowStripes="1" showColumnStripes="0"/>
</table>
</file>

<file path=xl/tables/table3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68F972B1-257F-4344-88AF-B3158F350CCD}" name="Tabela74182635" displayName="Tabela74182635" ref="A45:C46" totalsRowShown="0" headerRowDxfId="435" dataDxfId="434">
  <autoFilter ref="A45:C46" xr:uid="{3C276011-AF9C-44BA-BEBF-5E51E325C862}"/>
  <tableColumns count="3">
    <tableColumn id="1" xr3:uid="{FE44A834-BB30-4304-B74C-BE89A4934D83}" name="Lazer" dataDxfId="433"/>
    <tableColumn id="2" xr3:uid="{C0467682-FEBF-4495-BDF6-0FCD647EE0EE}" name="Valor" dataDxfId="432"/>
    <tableColumn id="3" xr3:uid="{1462A69B-1511-45C8-9CE0-156011B21B93}" name="Data" dataDxfId="431"/>
  </tableColumns>
  <tableStyleInfo name="TableStyleMedium2" showFirstColumn="0" showLastColumn="0" showRowStripes="1" showColumnStripes="0"/>
</table>
</file>

<file path=xl/tables/table3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6" xr:uid="{592C01B2-1EE5-4430-8622-2F8CEA0D9953}" name="Tabela746192737" displayName="Tabela746192737" ref="A25:C26" totalsRowShown="0" headerRowDxfId="430" dataDxfId="429">
  <autoFilter ref="A25:C26" xr:uid="{F6423AA8-8951-428D-B352-F56C76120CC5}"/>
  <tableColumns count="3">
    <tableColumn id="1" xr3:uid="{7F7D574F-03EE-459D-9240-598AFCFF3078}" name="Renda Extra" dataDxfId="428"/>
    <tableColumn id="2" xr3:uid="{780A2C59-2C96-4B60-84C3-64763F6898AD}" name="Valor" dataDxfId="427"/>
    <tableColumn id="3" xr3:uid="{565F5F50-F3DE-472D-A3C5-C03A981FF246}" name="Data" dataDxfId="426"/>
  </tableColumns>
  <tableStyleInfo name="TableStyleMedium2" showFirstColumn="0" showLastColumn="0" showRowStripes="1" showColumnStripes="0"/>
</table>
</file>

<file path=xl/tables/table3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7" xr:uid="{1F4337D7-0ECA-493E-AD3A-CC0BEFE9C822}" name="Tabela8202838" displayName="Tabela8202838" ref="A4:B9" totalsRowShown="0" headerRowDxfId="425">
  <autoFilter ref="A4:B9" xr:uid="{6D100D71-B3E3-407D-8F30-D38858D68DDE}"/>
  <tableColumns count="2">
    <tableColumn id="1" xr3:uid="{99DC6D25-B9C9-4784-904B-9A69035C930F}" name="Receitas no mês"/>
    <tableColumn id="2" xr3:uid="{C428A52C-3920-4BDD-B63D-00B41C632A1C}" name="Valores" dataDxfId="424" dataCellStyle="Moeda"/>
  </tableColumns>
  <tableStyleInfo name="TableStyleMedium2" showFirstColumn="0" showLastColumn="0" showRowStripes="1" showColumnStripes="0"/>
</table>
</file>

<file path=xl/tables/table3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8" xr:uid="{E5031C86-4C76-4BA1-8CBF-A62175AD34DC}" name="Tabela3210212939" displayName="Tabela3210212939" ref="E25:J31" headerRowDxfId="423" dataDxfId="422">
  <autoFilter ref="E25:J31" xr:uid="{80A322E9-B990-49FE-9185-2E59C2F318D3}"/>
  <tableColumns count="6">
    <tableColumn id="1" xr3:uid="{463D401A-1770-4A3A-AEA3-B754F1F261E2}" name="Despesas Obrigatórias" totalsRowLabel="Total" dataDxfId="421" totalsRowDxfId="420"/>
    <tableColumn id="2" xr3:uid="{D4EDE476-55C1-4745-87BF-B8C4F23D6504}" name="Valor" dataDxfId="419" totalsRowDxfId="418" dataCellStyle="Moeda"/>
    <tableColumn id="3" xr3:uid="{61F7973B-A5F6-4314-83CD-947557007C2D}" name="Data de Vencimento" dataDxfId="417" totalsRowDxfId="416"/>
    <tableColumn id="4" xr3:uid="{80471014-A766-45DD-A757-382C29B2593D}" name="Data de Pagamento" dataDxfId="415" totalsRowDxfId="414"/>
    <tableColumn id="5" xr3:uid="{B176B14E-18A0-4670-AAFC-26D149147D50}" name="Dias de atraso" dataDxfId="413" totalsRowDxfId="412">
      <calculatedColumnFormula>IF(H26="","Sem data",IF(H26-G26&lt;0,"Pago antes do vencimento",H26-G26))</calculatedColumnFormula>
    </tableColumn>
    <tableColumn id="6" xr3:uid="{618E9068-23D5-41DE-AFD5-D5AEF03D7844}" name="Status" totalsRowFunction="count" dataDxfId="411" totalsRowDxfId="410">
      <calculatedColumnFormula>IF(I26:I31="Sem data","Pagar","Pago")</calculatedColumnFormula>
    </tableColumn>
  </tableColumns>
  <tableStyleInfo name="TableStyleMedium2" showFirstColumn="0" showLastColumn="0" showRowStripes="1" showColumnStripes="0"/>
</table>
</file>

<file path=xl/tables/table3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9" xr:uid="{E1E0B8DC-130D-4F5B-926E-25DDBCAD1A3F}" name="Tabela3511223040" displayName="Tabela3511223040" ref="A11:B14" totalsRowShown="0" headerRowDxfId="409" dataDxfId="408" headerRowCellStyle="Moeda" dataCellStyle="Moeda">
  <autoFilter ref="A11:B14" xr:uid="{A96EC1EC-AD3E-47F5-8830-577808F94595}"/>
  <tableColumns count="2">
    <tableColumn id="1" xr3:uid="{60572A49-433D-4D31-BFD6-5D199F11B50E}" name="Saldo Líquido" dataDxfId="407" dataCellStyle="Moeda"/>
    <tableColumn id="2" xr3:uid="{5452AF65-16BA-4704-B4B6-FB7DE30EB731}" name=" Valores " dataDxfId="406" dataCellStyle="Moeda"/>
  </tableColumns>
  <tableStyleInfo name="TableStyleMedium2" showFirstColumn="0" showLastColumn="0" showRowStripes="1" showColumnStripes="0"/>
</table>
</file>

<file path=xl/tables/table3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0" xr:uid="{E6153DDC-44B8-4F85-BDC0-6CB9937E5B5C}" name="Tabela412233141" displayName="Tabela412233141" ref="E37:J38" totalsRowShown="0" headerRowDxfId="405">
  <autoFilter ref="E37:J38" xr:uid="{B444264C-C631-4213-AC2F-8E7EC88339EE}"/>
  <tableColumns count="6">
    <tableColumn id="1" xr3:uid="{3611D8DC-545D-46AC-A8FF-1D7DC2F1755B}" name="Despesas Não Recorrentes"/>
    <tableColumn id="2" xr3:uid="{E43067C9-830F-4960-88E9-AA6008917541}" name="Valor" dataDxfId="404" dataCellStyle="Moeda"/>
    <tableColumn id="3" xr3:uid="{859EB6C2-F20D-4F91-9D2A-B01D72F3A49D}" name="Data de Pagamento" dataDxfId="403"/>
    <tableColumn id="4" xr3:uid="{C8DC031A-65C4-4EA3-BCA8-98A445254CA5}" name="Descrição" dataDxfId="402"/>
    <tableColumn id="5" xr3:uid="{4613895E-D0FC-47EE-883E-F2E439EE8852}" name="Forma de Pagamento" dataDxfId="401"/>
    <tableColumn id="6" xr3:uid="{815B2C0E-5CC1-4324-AFEF-11975B0B4FB6}" name="Status" dataDxfId="400"/>
  </tableColumns>
  <tableStyleInfo name="TableStyleMedium2" showFirstColumn="0" showLastColumn="0" showRowStripes="1" showColumnStripes="0"/>
</table>
</file>

<file path=xl/tables/table3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1" xr:uid="{E4A9FE6C-2C0D-4508-B600-3BF6320267FC}" name="Tabela613243242" displayName="Tabela613243242" ref="E45:H48" totalsRowShown="0" headerRowDxfId="399" dataDxfId="398">
  <autoFilter ref="E45:H48" xr:uid="{6D56F5C9-55DC-4C17-8DBD-57EA33F134A7}"/>
  <tableColumns count="4">
    <tableColumn id="1" xr3:uid="{1DA9DC4D-2F0F-4FC4-AA97-B24B850C97A1}" name="Mercado" dataDxfId="397"/>
    <tableColumn id="2" xr3:uid="{23E2233E-888B-44FC-B4A4-DA43F5180F0D}" name="Valor" dataDxfId="396" dataCellStyle="Moeda"/>
    <tableColumn id="3" xr3:uid="{0AD8E02F-0ED6-44AB-AA8B-3825C19CCA79}" name="Total de itens" dataDxfId="395"/>
    <tableColumn id="4" xr3:uid="{77BFCABD-37B4-45A5-856A-D187F80F3E7A}" name="Data" dataDxfId="394"/>
  </tableColumns>
  <tableStyleInfo name="TableStyleMedium2" showFirstColumn="0" showLastColumn="0" showRowStripes="1" showColumnStripes="0"/>
</table>
</file>

<file path=xl/tables/table4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2" xr:uid="{7355BF47-7DBD-44F1-900C-B44177AE2B0A}" name="Tabela717253443" displayName="Tabela717253443" ref="A36:C37" totalsRowShown="0" headerRowDxfId="393" dataDxfId="392">
  <autoFilter ref="A36:C37" xr:uid="{CE0C1D1B-44E2-4BB9-A602-CC568EE11C40}"/>
  <tableColumns count="3">
    <tableColumn id="1" xr3:uid="{765DE83A-BC3E-449D-ABB7-9AE0A277537F}" name="Cuidados Pessoais" dataDxfId="391"/>
    <tableColumn id="2" xr3:uid="{AADD78F9-303A-4A40-9735-7A251704528F}" name="Valor" dataDxfId="390"/>
    <tableColumn id="3" xr3:uid="{19B7CFCD-0299-4C11-8F84-000003709C74}" name="Data" dataDxfId="389"/>
  </tableColumns>
  <tableStyleInfo name="TableStyleMedium2" showFirstColumn="0" showLastColumn="0" showRowStripes="1" showColumnStripes="0"/>
</table>
</file>

<file path=xl/tables/table4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3" xr:uid="{1FF99050-44AD-44A2-82B1-4AAB454681C4}" name="Tabela7418263544" displayName="Tabela7418263544" ref="A45:C46" totalsRowShown="0" headerRowDxfId="388" dataDxfId="387">
  <autoFilter ref="A45:C46" xr:uid="{3C276011-AF9C-44BA-BEBF-5E51E325C862}"/>
  <tableColumns count="3">
    <tableColumn id="1" xr3:uid="{CDF2FE1F-0F99-428E-9F3E-3FD4679365CB}" name="Lazer" dataDxfId="386"/>
    <tableColumn id="2" xr3:uid="{7523F94A-F60B-42B7-A67F-5293CE80C936}" name="Valor" dataDxfId="385"/>
    <tableColumn id="3" xr3:uid="{E21CE1C4-1521-4DF5-888B-022243A10EA6}" name="Data" dataDxfId="384"/>
  </tableColumns>
  <tableStyleInfo name="TableStyleMedium2" showFirstColumn="0" showLastColumn="0" showRowStripes="1" showColumnStripes="0"/>
</table>
</file>

<file path=xl/tables/table4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4" xr:uid="{DE276BEC-6EC3-42D1-A7A3-A7B477EF3187}" name="Tabela74619273745" displayName="Tabela74619273745" ref="A25:C26" totalsRowShown="0" headerRowDxfId="383">
  <autoFilter ref="A25:C26" xr:uid="{F6423AA8-8951-428D-B352-F56C76120CC5}"/>
  <tableColumns count="3">
    <tableColumn id="1" xr3:uid="{063B1D7F-3240-476B-980F-ABA7D80EBA67}" name="Renda Extra" dataDxfId="382"/>
    <tableColumn id="2" xr3:uid="{5D73AEF2-39AB-40D1-A964-7DA16B31A330}" name="Valor" dataDxfId="381"/>
    <tableColumn id="3" xr3:uid="{90C35462-53D3-43E8-BB07-6AADFA27B011}" name="Data" dataDxfId="380"/>
  </tableColumns>
  <tableStyleInfo name="TableStyleMedium2" showFirstColumn="0" showLastColumn="0" showRowStripes="1" showColumnStripes="0"/>
</table>
</file>

<file path=xl/tables/table4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5" xr:uid="{9312C803-E6B6-431C-AFB6-41E21E690547}" name="Tabela820283846" displayName="Tabela820283846" ref="A4:B9" totalsRowShown="0">
  <autoFilter ref="A4:B9" xr:uid="{6D100D71-B3E3-407D-8F30-D38858D68DDE}"/>
  <tableColumns count="2">
    <tableColumn id="1" xr3:uid="{C9AEFDC6-BB21-4669-B26A-06E8D7BC880B}" name="Receitas no mês"/>
    <tableColumn id="2" xr3:uid="{EB285EF5-BF83-4C43-B53E-4C261CC0B175}" name="Valores" dataDxfId="379" dataCellStyle="Moeda"/>
  </tableColumns>
  <tableStyleInfo name="TableStyleMedium2" showFirstColumn="0" showLastColumn="0" showRowStripes="1" showColumnStripes="0"/>
</table>
</file>

<file path=xl/tables/table4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6" xr:uid="{07D13EC7-DB57-4789-8111-E8E7763A3400}" name="Tabela321021293947" displayName="Tabela321021293947" ref="E25:J31" headerRowDxfId="378" dataDxfId="377">
  <autoFilter ref="E25:J31" xr:uid="{80A322E9-B990-49FE-9185-2E59C2F318D3}"/>
  <tableColumns count="6">
    <tableColumn id="1" xr3:uid="{E0FCB6EB-C8D8-4793-8941-C0D296688B7C}" name="Despesas Obrigatórias" totalsRowLabel="Total" dataDxfId="376" totalsRowDxfId="375"/>
    <tableColumn id="2" xr3:uid="{1D910D95-E521-4AB2-89C5-B995CF598832}" name="Valor" dataDxfId="374" totalsRowDxfId="373" dataCellStyle="Moeda"/>
    <tableColumn id="3" xr3:uid="{6D171DCD-5A89-4210-99B6-9BD51BB4596F}" name="Data de Vencimento" dataDxfId="372" totalsRowDxfId="371"/>
    <tableColumn id="4" xr3:uid="{D68A851A-EEF4-4F81-938B-F8DBA0A6E0CA}" name="Data de Pagamento" dataDxfId="370" totalsRowDxfId="369"/>
    <tableColumn id="5" xr3:uid="{2EF6A9E1-8E28-4461-A463-1EF33E4BBEC7}" name="Dias de atraso" dataDxfId="368" totalsRowDxfId="367">
      <calculatedColumnFormula>IF(H26="","Sem data",IF(H26-G26&lt;0,"Pago antes do vencimento",H26-G26))</calculatedColumnFormula>
    </tableColumn>
    <tableColumn id="6" xr3:uid="{7E51840C-7F04-4ECE-A105-2B9826B2D80B}" name="Status" totalsRowFunction="count" dataDxfId="366" totalsRowDxfId="365">
      <calculatedColumnFormula>IF(I26:I31="Sem data","Pagar","Pago")</calculatedColumnFormula>
    </tableColumn>
  </tableColumns>
  <tableStyleInfo name="TableStyleMedium2" showFirstColumn="0" showLastColumn="0" showRowStripes="1" showColumnStripes="0"/>
</table>
</file>

<file path=xl/tables/table4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7" xr:uid="{724AECEC-B590-4941-A22B-423013792133}" name="Tabela351122304048" displayName="Tabela351122304048" ref="A11:B14" totalsRowShown="0" headerRowDxfId="364" dataDxfId="363" headerRowCellStyle="Moeda" dataCellStyle="Moeda">
  <autoFilter ref="A11:B14" xr:uid="{A96EC1EC-AD3E-47F5-8830-577808F94595}"/>
  <tableColumns count="2">
    <tableColumn id="1" xr3:uid="{B5194792-1BD9-49F9-8BBD-D3706B9507AB}" name="Saldo Líquido" dataDxfId="362" dataCellStyle="Moeda"/>
    <tableColumn id="2" xr3:uid="{B7434E44-6EAD-4F8F-B941-06FAAED36638}" name=" Valores " dataDxfId="361" dataCellStyle="Moeda"/>
  </tableColumns>
  <tableStyleInfo name="TableStyleMedium2" showFirstColumn="0" showLastColumn="0" showRowStripes="1" showColumnStripes="0"/>
</table>
</file>

<file path=xl/tables/table4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8" xr:uid="{6774B45F-7208-4C50-83B9-B9709310E0D6}" name="Tabela41223314149" displayName="Tabela41223314149" ref="E37:J38" totalsRowShown="0" headerRowDxfId="360" dataDxfId="359">
  <autoFilter ref="E37:J38" xr:uid="{B444264C-C631-4213-AC2F-8E7EC88339EE}"/>
  <tableColumns count="6">
    <tableColumn id="1" xr3:uid="{12A14095-CCC6-4742-AD06-D7BEDCD5C619}" name="Despesas Não Recorrentes" dataDxfId="358"/>
    <tableColumn id="2" xr3:uid="{8C196E4F-6242-4D52-B598-F1E69266B8C7}" name="Valor" dataDxfId="357" dataCellStyle="Moeda"/>
    <tableColumn id="3" xr3:uid="{248B421B-AC67-449C-A6B2-B4DF87EFEBF3}" name="Data de Pagamento" dataDxfId="356"/>
    <tableColumn id="4" xr3:uid="{DC475058-FCE2-4CDA-853A-EE8D536AFFB8}" name="Descrição" dataDxfId="355"/>
    <tableColumn id="5" xr3:uid="{48ED981A-59FF-40CC-ABB6-EB0FB6E8DB9E}" name="Forma de Pagamento" dataDxfId="354"/>
    <tableColumn id="6" xr3:uid="{6C93D194-452D-4A77-B12B-2CC3E2079713}" name="Status" dataDxfId="353"/>
  </tableColumns>
  <tableStyleInfo name="TableStyleMedium2" showFirstColumn="0" showLastColumn="0" showRowStripes="1" showColumnStripes="0"/>
</table>
</file>

<file path=xl/tables/table4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9" xr:uid="{115BDCA5-6388-41BB-A4ED-D55F7C32B2C0}" name="Tabela61324324250" displayName="Tabela61324324250" ref="E45:H52" totalsRowShown="0" headerRowDxfId="352" dataDxfId="351">
  <autoFilter ref="E45:H52" xr:uid="{6D56F5C9-55DC-4C17-8DBD-57EA33F134A7}"/>
  <tableColumns count="4">
    <tableColumn id="1" xr3:uid="{9DD01FDC-C7E6-45A9-8440-4A478D871167}" name="Mercado" dataDxfId="350"/>
    <tableColumn id="2" xr3:uid="{3CAE4A4C-7A42-482A-83D1-FA89C93CA0F8}" name="Valor" dataDxfId="349" dataCellStyle="Moeda"/>
    <tableColumn id="3" xr3:uid="{0B511A04-5CB1-4C6D-A02D-9DF684DB0CEA}" name="Total de itens" dataDxfId="348"/>
    <tableColumn id="4" xr3:uid="{D8F5DB88-84E6-49F8-BF3B-218689F6F239}" name="Data" dataDxfId="347"/>
  </tableColumns>
  <tableStyleInfo name="TableStyleMedium2" showFirstColumn="0" showLastColumn="0" showRowStripes="1" showColumnStripes="0"/>
</table>
</file>

<file path=xl/tables/table4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0" xr:uid="{455369ED-04BE-4AEC-9410-6CD1634F225F}" name="Tabela71725344351" displayName="Tabela71725344351" ref="A37:C38" totalsRowShown="0" headerRowDxfId="346" dataDxfId="345">
  <autoFilter ref="A37:C38" xr:uid="{CE0C1D1B-44E2-4BB9-A602-CC568EE11C40}"/>
  <tableColumns count="3">
    <tableColumn id="1" xr3:uid="{12BEC073-9A75-4772-9FEC-640665FAC108}" name="Cuidados Pessoais" dataDxfId="344"/>
    <tableColumn id="2" xr3:uid="{BC6FD811-33CE-4E4B-A105-02BB881ADC40}" name="Valor" dataDxfId="343"/>
    <tableColumn id="3" xr3:uid="{99CE1F37-1F99-4E74-A874-912CC9D7BC54}" name="Data" dataDxfId="342"/>
  </tableColumns>
  <tableStyleInfo name="TableStyleMedium2" showFirstColumn="0" showLastColumn="0" showRowStripes="1" showColumnStripes="0"/>
</table>
</file>

<file path=xl/tables/table4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1" xr:uid="{10CECB0A-366F-4646-97E5-C547493FEB16}" name="Tabela741826354452" displayName="Tabela741826354452" ref="A45:C46" totalsRowShown="0" headerRowDxfId="341" dataDxfId="340">
  <autoFilter ref="A45:C46" xr:uid="{3C276011-AF9C-44BA-BEBF-5E51E325C862}"/>
  <tableColumns count="3">
    <tableColumn id="1" xr3:uid="{3F1AFCA7-5676-421D-8458-F655331E7974}" name="Lazer" dataDxfId="339"/>
    <tableColumn id="2" xr3:uid="{C44736FF-5A72-4833-8798-E88AE98EF980}" name="Valor" dataDxfId="338"/>
    <tableColumn id="3" xr3:uid="{FC7EC841-C03E-4DC9-9935-41F65B07BFA4}" name="Data" dataDxfId="337"/>
  </tableColumns>
  <tableStyleInfo name="TableStyleMedium2" showFirstColumn="0" showLastColumn="0" showRowStripes="1" showColumnStripes="0"/>
</table>
</file>

<file path=xl/tables/table5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2" xr:uid="{7C11A76F-0589-4919-8FD4-3BD371BEF273}" name="Tabela7461927374553" displayName="Tabela7461927374553" ref="A25:C26" totalsRowShown="0" headerRowDxfId="336">
  <autoFilter ref="A25:C26" xr:uid="{F6423AA8-8951-428D-B352-F56C76120CC5}"/>
  <tableColumns count="3">
    <tableColumn id="1" xr3:uid="{C48EC470-3B5D-4AA5-B295-18CCA0F819DB}" name="Renda Extra" dataDxfId="335"/>
    <tableColumn id="2" xr3:uid="{23E41A08-05BE-4C09-8D90-D16C16FD72E1}" name="Valor" dataDxfId="334"/>
    <tableColumn id="3" xr3:uid="{351EFF6C-8606-4D7F-A7EF-9F5BE8AC7271}" name="Data" dataDxfId="333"/>
  </tableColumns>
  <tableStyleInfo name="TableStyleMedium2" showFirstColumn="0" showLastColumn="0" showRowStripes="1" showColumnStripes="0"/>
</table>
</file>

<file path=xl/tables/table5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3" xr:uid="{4E32158F-EB13-4B18-A955-617C024630F6}" name="Tabela82028384654" displayName="Tabela82028384654" ref="A4:B9" totalsRowShown="0">
  <autoFilter ref="A4:B9" xr:uid="{6D100D71-B3E3-407D-8F30-D38858D68DDE}"/>
  <tableColumns count="2">
    <tableColumn id="1" xr3:uid="{45F84DA3-BBED-49F3-9E9A-3D9565B73B6B}" name="Receitas no mês"/>
    <tableColumn id="2" xr3:uid="{9CD1A8B9-F1E9-4BD7-ADB5-44472B525098}" name="Valores" dataDxfId="332" dataCellStyle="Moeda"/>
  </tableColumns>
  <tableStyleInfo name="TableStyleMedium2" showFirstColumn="0" showLastColumn="0" showRowStripes="1" showColumnStripes="0"/>
</table>
</file>

<file path=xl/tables/table5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4" xr:uid="{C1BCB823-DA12-4A95-B47C-8D1254D0394E}" name="Tabela32102129394755" displayName="Tabela32102129394755" ref="E25:J31" headerRowDxfId="331" dataDxfId="330">
  <autoFilter ref="E25:J31" xr:uid="{80A322E9-B990-49FE-9185-2E59C2F318D3}"/>
  <tableColumns count="6">
    <tableColumn id="1" xr3:uid="{D0A6498E-BBA4-4F4C-AD9E-9F952AF52453}" name="Despesas Obrigatórias" totalsRowLabel="Total" dataDxfId="329" totalsRowDxfId="328"/>
    <tableColumn id="2" xr3:uid="{99BEC077-63B4-4EBB-9C95-AB4209115023}" name="Valor" dataDxfId="327" totalsRowDxfId="326" dataCellStyle="Moeda"/>
    <tableColumn id="3" xr3:uid="{A2657E99-88B5-4825-849A-08725CA4EACA}" name="Data de Vencimento" dataDxfId="325" totalsRowDxfId="324"/>
    <tableColumn id="4" xr3:uid="{3FD0CD32-0A6D-4F9C-B78D-1AAE76916132}" name="Data de Pagamento" dataDxfId="323" totalsRowDxfId="322"/>
    <tableColumn id="5" xr3:uid="{8139CCD0-2914-4625-B77A-908F4DF8E31F}" name="Dias de atraso" dataDxfId="321" totalsRowDxfId="320">
      <calculatedColumnFormula>IF(H26="","Sem data",IF(H26-G26&lt;0,"Pago antes do vencimento",H26-G26))</calculatedColumnFormula>
    </tableColumn>
    <tableColumn id="6" xr3:uid="{CE44241A-C7C2-4D7F-BC57-108802B21CE7}" name="Status" totalsRowFunction="count" dataDxfId="319" totalsRowDxfId="318">
      <calculatedColumnFormula>IF(I26:I31="Sem data","Pagar","Pago")</calculatedColumnFormula>
    </tableColumn>
  </tableColumns>
  <tableStyleInfo name="TableStyleMedium2" showFirstColumn="0" showLastColumn="0" showRowStripes="1" showColumnStripes="0"/>
</table>
</file>

<file path=xl/tables/table5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5" xr:uid="{3A1E4B3F-12EE-4E24-8E94-6EA86D214CB7}" name="Tabela35112230404856" displayName="Tabela35112230404856" ref="A11:B14" totalsRowShown="0" headerRowDxfId="317" dataDxfId="316" headerRowCellStyle="Moeda" dataCellStyle="Moeda">
  <autoFilter ref="A11:B14" xr:uid="{A96EC1EC-AD3E-47F5-8830-577808F94595}"/>
  <tableColumns count="2">
    <tableColumn id="1" xr3:uid="{2527B42D-B782-47F0-B625-6D8B33C24102}" name="Saldo Líquido" dataDxfId="315" dataCellStyle="Moeda"/>
    <tableColumn id="2" xr3:uid="{73AD6A09-82BF-407D-97F2-32F508B0DF2A}" name=" Valores " dataDxfId="314" dataCellStyle="Moeda"/>
  </tableColumns>
  <tableStyleInfo name="TableStyleMedium2" showFirstColumn="0" showLastColumn="0" showRowStripes="1" showColumnStripes="0"/>
</table>
</file>

<file path=xl/tables/table5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6" xr:uid="{59BF4146-FE20-41F0-A6AD-B3B7A2E89965}" name="Tabela4122331414957" displayName="Tabela4122331414957" ref="E37:J38" totalsRowShown="0" headerRowDxfId="313">
  <autoFilter ref="E37:J38" xr:uid="{B444264C-C631-4213-AC2F-8E7EC88339EE}"/>
  <tableColumns count="6">
    <tableColumn id="1" xr3:uid="{949B80EC-5BF4-4FF5-99D5-E5EA53FF0064}" name="Despesas Não Recorrentes"/>
    <tableColumn id="2" xr3:uid="{1BCC88DC-8C6F-40A2-A027-83BCF4966371}" name="Valor" dataDxfId="312" dataCellStyle="Moeda"/>
    <tableColumn id="3" xr3:uid="{1F4B6DA8-E55E-4E95-9DED-ED1386D40823}" name="Data de Pagamento" dataDxfId="311"/>
    <tableColumn id="4" xr3:uid="{EE5935D5-9F04-4ED5-A920-41ADB91C9927}" name="Descrição" dataDxfId="310"/>
    <tableColumn id="5" xr3:uid="{E467D542-2477-4A8A-9315-BF4BF5B6A55E}" name="Forma de Pagamento" dataDxfId="309"/>
    <tableColumn id="6" xr3:uid="{FC0B4A8B-BCD0-4C8B-AEE5-0F484E42A015}" name="Status" dataDxfId="308"/>
  </tableColumns>
  <tableStyleInfo name="TableStyleMedium2" showFirstColumn="0" showLastColumn="0" showRowStripes="1" showColumnStripes="0"/>
</table>
</file>

<file path=xl/tables/table5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7" xr:uid="{1AE83D16-3606-420B-9939-D98EC964BCEE}" name="Tabela6132432425058" displayName="Tabela6132432425058" ref="E45:H51" totalsRowShown="0" headerRowDxfId="307" dataDxfId="306">
  <autoFilter ref="E45:H51" xr:uid="{6D56F5C9-55DC-4C17-8DBD-57EA33F134A7}"/>
  <tableColumns count="4">
    <tableColumn id="1" xr3:uid="{4370B9DD-D892-4B26-AD1C-7597C986DDA4}" name="Mercado" dataDxfId="305"/>
    <tableColumn id="2" xr3:uid="{526B9117-D76C-4037-A06E-6B3001B95720}" name="Valor" dataDxfId="304" dataCellStyle="Moeda"/>
    <tableColumn id="3" xr3:uid="{98B2F525-71D7-4FEC-B3C3-A16C5B905527}" name="Total de itens" dataDxfId="303"/>
    <tableColumn id="4" xr3:uid="{09D9F6BE-D56A-4541-A9C5-BDBB4D4F0787}" name="Data" dataDxfId="302"/>
  </tableColumns>
  <tableStyleInfo name="TableStyleMedium2" showFirstColumn="0" showLastColumn="0" showRowStripes="1" showColumnStripes="0"/>
</table>
</file>

<file path=xl/tables/table5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8" xr:uid="{C8896116-6C32-4AD3-BDB5-F3DB22A8505E}" name="Tabela7172534435159" displayName="Tabela7172534435159" ref="A35:C36" totalsRowShown="0" headerRowDxfId="301" dataDxfId="300">
  <autoFilter ref="A35:C36" xr:uid="{CE0C1D1B-44E2-4BB9-A602-CC568EE11C40}"/>
  <tableColumns count="3">
    <tableColumn id="1" xr3:uid="{9934C5F8-EB50-4F7B-9394-4CB972C1894C}" name="Cuidados Pessoais" dataDxfId="299"/>
    <tableColumn id="2" xr3:uid="{909CC194-FEEC-429B-8351-008F66A9E804}" name="Valor" dataDxfId="298"/>
    <tableColumn id="3" xr3:uid="{954A78FA-65DF-4D51-9740-59C65C80FD40}" name="Data" dataDxfId="297"/>
  </tableColumns>
  <tableStyleInfo name="TableStyleMedium2" showFirstColumn="0" showLastColumn="0" showRowStripes="1" showColumnStripes="0"/>
</table>
</file>

<file path=xl/tables/table5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9" xr:uid="{D6E739E3-152E-459B-8574-46DA380E9FBC}" name="Tabela74182635445260" displayName="Tabela74182635445260" ref="A45:C46" totalsRowShown="0" headerRowDxfId="296" dataDxfId="295">
  <autoFilter ref="A45:C46" xr:uid="{3C276011-AF9C-44BA-BEBF-5E51E325C862}"/>
  <tableColumns count="3">
    <tableColumn id="1" xr3:uid="{4A672D75-EF70-4856-996B-4C7343560A97}" name="Lazer" dataDxfId="294"/>
    <tableColumn id="2" xr3:uid="{D124A442-9D9B-414A-8239-57C86AA1F146}" name="Valor" dataDxfId="293"/>
    <tableColumn id="3" xr3:uid="{F11E2847-412D-4788-9196-B46CD806A0A4}" name="Data" dataDxfId="292"/>
  </tableColumns>
  <tableStyleInfo name="TableStyleMedium2" showFirstColumn="0" showLastColumn="0" showRowStripes="1" showColumnStripes="0"/>
</table>
</file>

<file path=xl/tables/table5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0" xr:uid="{E591A781-39F8-45A9-863E-04D3A50992F8}" name="Tabela746192737455361" displayName="Tabela746192737455361" ref="A25:C26" totalsRowShown="0" headerRowDxfId="291">
  <autoFilter ref="A25:C26" xr:uid="{F6423AA8-8951-428D-B352-F56C76120CC5}"/>
  <tableColumns count="3">
    <tableColumn id="1" xr3:uid="{EB164D6B-4DD5-4F9C-A4EB-6D81BBF4E8A6}" name="Renda Extra" dataDxfId="290"/>
    <tableColumn id="2" xr3:uid="{57E2D8AB-480F-455A-80AD-88F76CCF2934}" name="Valor" dataDxfId="289"/>
    <tableColumn id="3" xr3:uid="{2B805E6E-7C9B-48C2-82A5-1F71A7C596B8}" name="Data" dataDxfId="288"/>
  </tableColumns>
  <tableStyleInfo name="TableStyleMedium2" showFirstColumn="0" showLastColumn="0" showRowStripes="1" showColumnStripes="0"/>
</table>
</file>

<file path=xl/tables/table5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1" xr:uid="{6B3941E6-AED8-4C2E-92D5-52AE547B6146}" name="Tabela8202838465462" displayName="Tabela8202838465462" ref="A4:B9" totalsRowShown="0">
  <autoFilter ref="A4:B9" xr:uid="{6D100D71-B3E3-407D-8F30-D38858D68DDE}"/>
  <tableColumns count="2">
    <tableColumn id="1" xr3:uid="{CE42D3DF-716D-4357-92E1-09B25C1735F5}" name="Receitas no mês"/>
    <tableColumn id="2" xr3:uid="{61F737B1-3E40-44A8-AADC-C17FFA33C85A}" name="Valores" dataDxfId="287" dataCellStyle="Moeda"/>
  </tableColumns>
  <tableStyleInfo name="TableStyleMedium2" showFirstColumn="0" showLastColumn="0" showRowStripes="1" showColumnStripes="0"/>
</table>
</file>

<file path=xl/tables/table6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2" xr:uid="{F59F9378-F39F-4B65-B573-BE53A728D37A}" name="Tabela3210212939475563" displayName="Tabela3210212939475563" ref="E25:J31" headerRowDxfId="286" dataDxfId="285">
  <autoFilter ref="E25:J31" xr:uid="{80A322E9-B990-49FE-9185-2E59C2F318D3}"/>
  <tableColumns count="6">
    <tableColumn id="1" xr3:uid="{C1CE2E2B-0EB2-43F1-9D2D-EA2D1BBF1CCD}" name="Despesas Obrigatórias" totalsRowLabel="Total" dataDxfId="284" totalsRowDxfId="283"/>
    <tableColumn id="2" xr3:uid="{26D9A9B8-C301-49C9-95A8-06F7AD335B19}" name="Valor" dataDxfId="282" totalsRowDxfId="281" dataCellStyle="Moeda"/>
    <tableColumn id="3" xr3:uid="{7249E439-C6AD-412B-BB7A-2B83B7BAADEA}" name="Data de Vencimento" dataDxfId="280" totalsRowDxfId="279"/>
    <tableColumn id="4" xr3:uid="{78C650AC-C749-4654-AABF-133E11ACE9F8}" name="Data de Pagamento" dataDxfId="278" totalsRowDxfId="277"/>
    <tableColumn id="5" xr3:uid="{5B2E278A-D985-4B9A-A372-7FACCD48A3EE}" name="Dias de atraso" dataDxfId="276" totalsRowDxfId="275">
      <calculatedColumnFormula>IF(H26="","Sem data",IF(H26-G26&lt;0,"Pago antes do vencimento",H26-G26))</calculatedColumnFormula>
    </tableColumn>
    <tableColumn id="6" xr3:uid="{92114676-348D-4CFD-AAD7-794AF35AA429}" name="Status" totalsRowFunction="count" dataDxfId="274" totalsRowDxfId="273">
      <calculatedColumnFormula>IF(I26:I31="Sem data","Pagar","Pago")</calculatedColumnFormula>
    </tableColumn>
  </tableColumns>
  <tableStyleInfo name="TableStyleMedium2" showFirstColumn="0" showLastColumn="0" showRowStripes="1" showColumnStripes="0"/>
</table>
</file>

<file path=xl/tables/table6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3" xr:uid="{ECE72CF3-B515-4805-91FF-C9A3231D143F}" name="Tabela3511223040485664" displayName="Tabela3511223040485664" ref="A11:B14" totalsRowShown="0" headerRowDxfId="272" dataDxfId="271" headerRowCellStyle="Moeda" dataCellStyle="Moeda">
  <autoFilter ref="A11:B14" xr:uid="{A96EC1EC-AD3E-47F5-8830-577808F94595}"/>
  <tableColumns count="2">
    <tableColumn id="1" xr3:uid="{11CB3FAC-FF4F-489A-9721-62EEB28B5EDC}" name="Saldo Líquido" dataDxfId="270" dataCellStyle="Moeda"/>
    <tableColumn id="2" xr3:uid="{D58B5939-92D8-4E3B-A3D7-1963C7A4D88C}" name=" Valores " dataDxfId="269" dataCellStyle="Moeda"/>
  </tableColumns>
  <tableStyleInfo name="TableStyleMedium2" showFirstColumn="0" showLastColumn="0" showRowStripes="1" showColumnStripes="0"/>
</table>
</file>

<file path=xl/tables/table6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4" xr:uid="{8D5D0825-837C-48C8-B0FC-73B3D70D282F}" name="Tabela412233141495765" displayName="Tabela412233141495765" ref="E37:J38" totalsRowShown="0" headerRowDxfId="268" dataDxfId="267">
  <autoFilter ref="E37:J38" xr:uid="{B444264C-C631-4213-AC2F-8E7EC88339EE}"/>
  <tableColumns count="6">
    <tableColumn id="1" xr3:uid="{187005F5-61FF-4E49-8153-537E88E5D3AB}" name="Despesas Não Recorrentes" dataDxfId="266"/>
    <tableColumn id="2" xr3:uid="{063F1007-0E1C-4F46-A7B0-91F2D00630F7}" name="Valor" dataDxfId="265" dataCellStyle="Moeda"/>
    <tableColumn id="3" xr3:uid="{85AAB5AE-522A-4FBE-9117-DA11101152E2}" name="Data de Pagamento" dataDxfId="264"/>
    <tableColumn id="4" xr3:uid="{98B7AB04-ECCD-457A-A498-A8A7B66D37A4}" name="Descrição" dataDxfId="263"/>
    <tableColumn id="5" xr3:uid="{2CDBD652-04BB-4B30-9B74-39C8E7297669}" name="Forma de Pagamento" dataDxfId="262"/>
    <tableColumn id="6" xr3:uid="{EEBB6465-2161-4B47-8154-1FBF8F427E37}" name="Status" dataDxfId="261"/>
  </tableColumns>
  <tableStyleInfo name="TableStyleMedium2" showFirstColumn="0" showLastColumn="0" showRowStripes="1" showColumnStripes="0"/>
</table>
</file>

<file path=xl/tables/table6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5" xr:uid="{E275CE5E-1C8F-4ED5-8607-5FABA9840778}" name="Tabela613243242505866" displayName="Tabela613243242505866" ref="E45:H52" totalsRowShown="0" headerRowDxfId="260" dataDxfId="259">
  <autoFilter ref="E45:H52" xr:uid="{6D56F5C9-55DC-4C17-8DBD-57EA33F134A7}"/>
  <tableColumns count="4">
    <tableColumn id="1" xr3:uid="{A2668C16-87DC-4F21-B42C-1981AA90AB60}" name="Mercado" dataDxfId="258"/>
    <tableColumn id="2" xr3:uid="{3CA7A4B8-BA5B-43F9-8C09-B2B9C146F194}" name="Valor" dataDxfId="257" dataCellStyle="Moeda"/>
    <tableColumn id="3" xr3:uid="{78D119AD-0B62-4CDB-9DED-454CBE0BAF0C}" name="Total de itens" dataDxfId="256"/>
    <tableColumn id="4" xr3:uid="{67E671D9-E367-4A45-A4D7-FED675F2E515}" name="Data" dataDxfId="255"/>
  </tableColumns>
  <tableStyleInfo name="TableStyleMedium2" showFirstColumn="0" showLastColumn="0" showRowStripes="1" showColumnStripes="0"/>
</table>
</file>

<file path=xl/tables/table6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6" xr:uid="{3FE8FF9A-86F6-432E-81C0-7C80B9EA58AD}" name="Tabela717253443515967" displayName="Tabela717253443515967" ref="A37:C38" totalsRowShown="0" headerRowDxfId="254" dataDxfId="253">
  <autoFilter ref="A37:C38" xr:uid="{CE0C1D1B-44E2-4BB9-A602-CC568EE11C40}"/>
  <tableColumns count="3">
    <tableColumn id="1" xr3:uid="{523ACF0F-73BD-4ED5-A0A1-5E10F59BA8FA}" name="Cuidados Pessoais" dataDxfId="252"/>
    <tableColumn id="2" xr3:uid="{26E7DDC3-477D-429D-8A9F-31E4B66EFC43}" name="Valor" dataDxfId="251" dataCellStyle="Moeda"/>
    <tableColumn id="3" xr3:uid="{7B627882-FF4E-43CA-981A-402A614878AF}" name="Data" dataDxfId="250"/>
  </tableColumns>
  <tableStyleInfo name="TableStyleMedium2" showFirstColumn="0" showLastColumn="0" showRowStripes="1" showColumnStripes="0"/>
</table>
</file>

<file path=xl/tables/table6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7" xr:uid="{153BC4B3-5CCC-41D7-AE86-7277D0FE2D41}" name="Tabela7418263544526068" displayName="Tabela7418263544526068" ref="A45:C46" totalsRowShown="0" headerRowDxfId="249" dataDxfId="248">
  <autoFilter ref="A45:C46" xr:uid="{3C276011-AF9C-44BA-BEBF-5E51E325C862}"/>
  <tableColumns count="3">
    <tableColumn id="1" xr3:uid="{E76EAE19-07B4-4C63-B80D-41C6994F383C}" name="Lazer" dataDxfId="247"/>
    <tableColumn id="2" xr3:uid="{46EE204E-8AB7-45DC-BFBB-B7AF825D1785}" name="Valor" dataDxfId="246"/>
    <tableColumn id="3" xr3:uid="{6A40DFC1-D41B-48FC-8DB2-182448E26E6F}" name="Data" dataDxfId="245"/>
  </tableColumns>
  <tableStyleInfo name="TableStyleMedium2" showFirstColumn="0" showLastColumn="0" showRowStripes="1" showColumnStripes="0"/>
</table>
</file>

<file path=xl/tables/table6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8" xr:uid="{D6B98C0D-A002-4686-A3DA-7BF3BF903F6F}" name="Tabela74619273745536169" displayName="Tabela74619273745536169" ref="A25:C26" totalsRowShown="0" headerRowDxfId="244">
  <autoFilter ref="A25:C26" xr:uid="{F6423AA8-8951-428D-B352-F56C76120CC5}"/>
  <tableColumns count="3">
    <tableColumn id="1" xr3:uid="{9D84DC1D-3BD0-4B47-A9E2-A510AF5EEF69}" name="Renda Extra" dataDxfId="243"/>
    <tableColumn id="2" xr3:uid="{B0387113-C228-450C-B329-2929D0D41C6A}" name="Valor" dataDxfId="242"/>
    <tableColumn id="3" xr3:uid="{DC1439C4-5DC6-41A8-8994-B6B8B3825CF3}" name="Data" dataDxfId="241"/>
  </tableColumns>
  <tableStyleInfo name="TableStyleMedium2" showFirstColumn="0" showLastColumn="0" showRowStripes="1" showColumnStripes="0"/>
</table>
</file>

<file path=xl/tables/table6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9" xr:uid="{5B1C37F2-6BBC-4DEB-B80D-5632516BEFB3}" name="Tabela820283846546270" displayName="Tabela820283846546270" ref="A4:B9" totalsRowShown="0">
  <autoFilter ref="A4:B9" xr:uid="{6D100D71-B3E3-407D-8F30-D38858D68DDE}"/>
  <tableColumns count="2">
    <tableColumn id="1" xr3:uid="{F1C93737-1D6E-4E92-9F8D-B9EB23BD9BC1}" name="Receitas no mês"/>
    <tableColumn id="2" xr3:uid="{F4462339-24D7-449D-AB14-30C6927FD6F4}" name="Valores" dataDxfId="240" dataCellStyle="Porcentagem"/>
  </tableColumns>
  <tableStyleInfo name="TableStyleMedium2" showFirstColumn="0" showLastColumn="0" showRowStripes="1" showColumnStripes="0"/>
</table>
</file>

<file path=xl/tables/table6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0" xr:uid="{B0455CE0-EBA6-44BE-B8A5-B434957C6562}" name="Tabela321021293947556371" displayName="Tabela321021293947556371" ref="E25:J31" headerRowDxfId="239" dataDxfId="238" totalsRowDxfId="237">
  <autoFilter ref="E25:J31" xr:uid="{80A322E9-B990-49FE-9185-2E59C2F318D3}"/>
  <tableColumns count="6">
    <tableColumn id="1" xr3:uid="{3EABF057-4AF3-4606-B63A-7286E0352E0D}" name="Despesas Obrigatórias" totalsRowLabel="Total" dataDxfId="236" totalsRowDxfId="235"/>
    <tableColumn id="2" xr3:uid="{483A6115-153E-4206-A247-0871F28FD262}" name="Valor" dataDxfId="234" totalsRowDxfId="233" dataCellStyle="Moeda"/>
    <tableColumn id="3" xr3:uid="{31792E53-FB50-4181-AB12-1CCE272246F6}" name="Data de Vencimento" dataDxfId="232" totalsRowDxfId="231"/>
    <tableColumn id="4" xr3:uid="{71117648-17E7-427C-9CB4-433EDE3F1809}" name="Data de Pagamento" dataDxfId="230" totalsRowDxfId="229"/>
    <tableColumn id="5" xr3:uid="{798D7A5E-D6A5-4A95-A289-1727F8920F0B}" name="Dias de atraso" dataDxfId="228" totalsRowDxfId="227">
      <calculatedColumnFormula>IF(H26="","Sem data",IF(H26-G26&lt;0,"Pago antes do vencimento",H26-G26))</calculatedColumnFormula>
    </tableColumn>
    <tableColumn id="6" xr3:uid="{16E6D1A1-3180-4B70-B4B2-7E1AFBF0A6B0}" name="Status" totalsRowFunction="count" dataDxfId="226" totalsRowDxfId="225">
      <calculatedColumnFormula>IF(I26:I31="Sem data","Pagar","Pago")</calculatedColumnFormula>
    </tableColumn>
  </tableColumns>
  <tableStyleInfo name="TableStyleMedium2" showFirstColumn="0" showLastColumn="0" showRowStripes="1" showColumnStripes="0"/>
</table>
</file>

<file path=xl/tables/table6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1" xr:uid="{A48C726D-4D17-4FF2-85F4-7E742BF61BCC}" name="Tabela351122304048566472" displayName="Tabela351122304048566472" ref="A11:B14" totalsRowShown="0" headerRowDxfId="224" dataDxfId="223" headerRowCellStyle="Moeda" dataCellStyle="Moeda">
  <autoFilter ref="A11:B14" xr:uid="{A96EC1EC-AD3E-47F5-8830-577808F94595}"/>
  <tableColumns count="2">
    <tableColumn id="1" xr3:uid="{83612D08-34B0-4EDA-90E1-708112C23D88}" name="Saldo Líquido" dataDxfId="222" dataCellStyle="Moeda"/>
    <tableColumn id="2" xr3:uid="{F99C913A-BEC5-497C-8570-1361D3FD2392}" name=" Valores " dataDxfId="221" dataCellStyle="Moeda"/>
  </tableColumns>
  <tableStyleInfo name="TableStyleMedium2" showFirstColumn="0" showLastColumn="0" showRowStripes="1" showColumnStripes="0"/>
</table>
</file>

<file path=xl/tables/table7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2" xr:uid="{30C4AC38-6CE7-4FEC-8ED6-3FCD6E17570B}" name="Tabela41223314149576573" displayName="Tabela41223314149576573" ref="E38:J39" totalsRowShown="0" headerRowDxfId="220" dataDxfId="219">
  <autoFilter ref="E38:J39" xr:uid="{B444264C-C631-4213-AC2F-8E7EC88339EE}"/>
  <tableColumns count="6">
    <tableColumn id="1" xr3:uid="{3A7D0D56-F7C3-4BCD-A808-BB0374A36167}" name="Despesas Não Recorrentes" dataDxfId="218"/>
    <tableColumn id="2" xr3:uid="{BAE25078-55D6-465E-A892-4A18C5944EE5}" name="Valor" dataDxfId="217" dataCellStyle="Moeda"/>
    <tableColumn id="3" xr3:uid="{74CA9B9C-7C41-4E61-8E53-12C25D62055E}" name="Data de Pagamento" dataDxfId="216"/>
    <tableColumn id="4" xr3:uid="{84AAF9A9-70E2-4EF6-BF98-AC3A088F580B}" name="Descrição" dataDxfId="215"/>
    <tableColumn id="5" xr3:uid="{18CA54DA-E8A2-47EF-A8C1-F5ADAF4F2490}" name="Forma de Pagamento" dataDxfId="214"/>
    <tableColumn id="6" xr3:uid="{58EC2FB1-9816-4488-BEFE-099BC4334E6A}" name="Status" dataDxfId="213"/>
  </tableColumns>
  <tableStyleInfo name="TableStyleMedium2" showFirstColumn="0" showLastColumn="0" showRowStripes="1" showColumnStripes="0"/>
</table>
</file>

<file path=xl/tables/table7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3" xr:uid="{E42AA5E3-863C-4AF8-858E-ED7406B5DB56}" name="Tabela61324324250586674" displayName="Tabela61324324250586674" ref="E45:H49" totalsRowShown="0" headerRowDxfId="212" dataDxfId="211">
  <autoFilter ref="E45:H49" xr:uid="{6D56F5C9-55DC-4C17-8DBD-57EA33F134A7}"/>
  <tableColumns count="4">
    <tableColumn id="1" xr3:uid="{0791AEE7-4655-40CB-ADC4-1407B3EE1577}" name="Mercado" dataDxfId="210"/>
    <tableColumn id="2" xr3:uid="{A5752448-2A6E-4C18-9918-4B4E1F3CA210}" name="Valor" dataDxfId="209" dataCellStyle="Moeda"/>
    <tableColumn id="3" xr3:uid="{08327B66-F3BC-4823-9AF1-CD32C52EF74B}" name="Total de itens" dataDxfId="208"/>
    <tableColumn id="4" xr3:uid="{02E666FF-857C-41E4-9AC8-04B1816E765D}" name="Data" dataDxfId="207"/>
  </tableColumns>
  <tableStyleInfo name="TableStyleMedium2" showFirstColumn="0" showLastColumn="0" showRowStripes="1" showColumnStripes="0"/>
</table>
</file>

<file path=xl/tables/table7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4" xr:uid="{4597F2D7-14C7-4B01-8A2C-DEE8BD4BCF7F}" name="Tabela71725344351596775" displayName="Tabela71725344351596775" ref="A38:C39" totalsRowShown="0" headerRowDxfId="206" dataDxfId="205">
  <autoFilter ref="A38:C39" xr:uid="{CE0C1D1B-44E2-4BB9-A602-CC568EE11C40}"/>
  <tableColumns count="3">
    <tableColumn id="1" xr3:uid="{2EBAE7BA-B893-49AA-BBFB-7C4AA571E3AC}" name="Cuidados Pessoais" dataDxfId="204"/>
    <tableColumn id="2" xr3:uid="{0C8DB6F1-FD8C-447D-AAF8-065C8D917F90}" name="Valor" dataDxfId="203"/>
    <tableColumn id="3" xr3:uid="{452A0FF8-A598-4477-985C-508D838977F6}" name="Data" dataDxfId="202"/>
  </tableColumns>
  <tableStyleInfo name="TableStyleMedium2" showFirstColumn="0" showLastColumn="0" showRowStripes="1" showColumnStripes="0"/>
</table>
</file>

<file path=xl/tables/table7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5" xr:uid="{C2CDCCB1-BF13-4237-9A2C-9543B48200D0}" name="Tabela741826354452606876" displayName="Tabela741826354452606876" ref="A45:C46" totalsRowShown="0" headerRowDxfId="201" dataDxfId="200">
  <autoFilter ref="A45:C46" xr:uid="{3C276011-AF9C-44BA-BEBF-5E51E325C862}"/>
  <tableColumns count="3">
    <tableColumn id="1" xr3:uid="{35234A9E-0020-4EEB-8358-3FB8CEF26CFC}" name="Lazer" dataDxfId="199"/>
    <tableColumn id="2" xr3:uid="{67357D73-A498-4FFC-A7E4-CCF713A28531}" name="Valor" dataDxfId="198"/>
    <tableColumn id="3" xr3:uid="{A36F7CFA-97C8-47FF-82F7-BA80DC39D59D}" name="Data" dataDxfId="197"/>
  </tableColumns>
  <tableStyleInfo name="TableStyleMedium2" showFirstColumn="0" showLastColumn="0" showRowStripes="1" showColumnStripes="0"/>
</table>
</file>

<file path=xl/tables/table7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6" xr:uid="{F127644B-C57B-4D0C-B779-F75782DC11FF}" name="Tabela7461927374553616977" displayName="Tabela7461927374553616977" ref="A25:C26" totalsRowShown="0" headerRowDxfId="196">
  <autoFilter ref="A25:C26" xr:uid="{F6423AA8-8951-428D-B352-F56C76120CC5}"/>
  <tableColumns count="3">
    <tableColumn id="1" xr3:uid="{F7EAFEA6-D930-44DF-83E7-2E15146D2B31}" name="Renda Extra" dataDxfId="195"/>
    <tableColumn id="2" xr3:uid="{89BB6313-30D4-4339-9878-64DC9323EA4C}" name="Valor" dataDxfId="194"/>
    <tableColumn id="3" xr3:uid="{90374092-4F6D-4062-9A16-B261EDD07114}" name="Data" dataDxfId="193"/>
  </tableColumns>
  <tableStyleInfo name="TableStyleMedium2" showFirstColumn="0" showLastColumn="0" showRowStripes="1" showColumnStripes="0"/>
</table>
</file>

<file path=xl/tables/table7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7" xr:uid="{C5D7EAB2-C0B4-45F1-8D7A-B3CE400E5051}" name="Tabela82028384654627078" displayName="Tabela82028384654627078" ref="A4:B9" totalsRowShown="0">
  <autoFilter ref="A4:B9" xr:uid="{6D100D71-B3E3-407D-8F30-D38858D68DDE}"/>
  <tableColumns count="2">
    <tableColumn id="1" xr3:uid="{1EEA689F-4A57-423C-8AB7-4BD36503592E}" name="Receitas no mês"/>
    <tableColumn id="2" xr3:uid="{443107A5-88BD-4B6F-9290-39426B7D84B4}" name="Valores" dataDxfId="192" dataCellStyle="Moeda"/>
  </tableColumns>
  <tableStyleInfo name="TableStyleMedium2" showFirstColumn="0" showLastColumn="0" showRowStripes="1" showColumnStripes="0"/>
</table>
</file>

<file path=xl/tables/table7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8" xr:uid="{F04E9684-BBBD-4C9F-946E-199A7AC84834}" name="Tabela32102129394755637179" displayName="Tabela32102129394755637179" ref="E25:J31" headerRowDxfId="191" dataDxfId="190">
  <autoFilter ref="E25:J31" xr:uid="{80A322E9-B990-49FE-9185-2E59C2F318D3}"/>
  <tableColumns count="6">
    <tableColumn id="1" xr3:uid="{DF47355B-2744-4249-B1DB-806A39502689}" name="Despesas Obrigatórias" totalsRowLabel="Total" dataDxfId="189" totalsRowDxfId="188"/>
    <tableColumn id="2" xr3:uid="{F83128E2-1D94-4F27-B767-11019FD04499}" name="Valor" dataDxfId="187" totalsRowDxfId="186" dataCellStyle="Moeda"/>
    <tableColumn id="3" xr3:uid="{0EF9E125-A686-471C-8977-CCEA48D062D2}" name="Data de Vencimento" dataDxfId="185" totalsRowDxfId="184"/>
    <tableColumn id="4" xr3:uid="{7A63B2FB-58C8-47AA-B26A-05783202C15F}" name="Data de Pagamento" dataDxfId="183" totalsRowDxfId="182"/>
    <tableColumn id="5" xr3:uid="{CE66FA5B-F1D9-4BF7-9860-600E699906FE}" name="Dias de atraso" dataDxfId="181" totalsRowDxfId="180">
      <calculatedColumnFormula>IF(H26="","Sem data",IF(H26-G26&lt;0,"Pago antes do vencimento",H26-G26))</calculatedColumnFormula>
    </tableColumn>
    <tableColumn id="6" xr3:uid="{97825DBE-6125-4957-B4AF-B5147B445662}" name="Status" totalsRowFunction="count" dataDxfId="179" totalsRowDxfId="178">
      <calculatedColumnFormula>IF(I26:I31="Sem data","Pagar","Pago")</calculatedColumnFormula>
    </tableColumn>
  </tableColumns>
  <tableStyleInfo name="TableStyleMedium2" showFirstColumn="0" showLastColumn="0" showRowStripes="1" showColumnStripes="0"/>
</table>
</file>

<file path=xl/tables/table7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9" xr:uid="{A856F50E-905F-4399-93E1-81DB1D68C428}" name="Tabela35112230404856647280" displayName="Tabela35112230404856647280" ref="A11:B14" totalsRowShown="0" headerRowDxfId="177" dataDxfId="176" headerRowCellStyle="Moeda" dataCellStyle="Moeda">
  <autoFilter ref="A11:B14" xr:uid="{A96EC1EC-AD3E-47F5-8830-577808F94595}"/>
  <tableColumns count="2">
    <tableColumn id="1" xr3:uid="{B3B7FD7F-2B2F-42DC-AF13-D47F9C915474}" name="Saldo Líquido" dataDxfId="175" dataCellStyle="Moeda"/>
    <tableColumn id="2" xr3:uid="{008D8A5A-9D16-4A73-B42A-2A801A5EDF86}" name=" Valores " dataDxfId="174" dataCellStyle="Moeda"/>
  </tableColumns>
  <tableStyleInfo name="TableStyleMedium2" showFirstColumn="0" showLastColumn="0" showRowStripes="1" showColumnStripes="0"/>
</table>
</file>

<file path=xl/tables/table7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0" xr:uid="{3D28C1F8-61A6-4E2C-83D2-25BE967282B7}" name="Tabela4122331414957657381" displayName="Tabela4122331414957657381" ref="E37:J38" totalsRowShown="0" headerRowDxfId="173">
  <autoFilter ref="E37:J38" xr:uid="{B444264C-C631-4213-AC2F-8E7EC88339EE}"/>
  <tableColumns count="6">
    <tableColumn id="1" xr3:uid="{85FA6117-154C-4665-9445-C4BC8114A09F}" name="Despesas Não Recorrentes" dataDxfId="172"/>
    <tableColumn id="2" xr3:uid="{F8E9595F-B296-4B63-9D90-AF70A3ED2F62}" name="Valor" dataDxfId="171" dataCellStyle="Moeda"/>
    <tableColumn id="3" xr3:uid="{454E710F-1241-4B9E-AA47-25ACBD3314BB}" name="Data de Pagamento" dataDxfId="170"/>
    <tableColumn id="4" xr3:uid="{8D7E5573-EA10-4D84-91E7-BE332FAA6476}" name="Descrição" dataDxfId="169"/>
    <tableColumn id="5" xr3:uid="{9DC118B7-BAB1-43BA-9CDD-85100C9FEB9E}" name="Forma de Pagamento" dataDxfId="168"/>
    <tableColumn id="6" xr3:uid="{DB8B052D-391F-44B6-9AB5-96D48BBF271C}" name="Status" dataDxfId="167"/>
  </tableColumns>
  <tableStyleInfo name="TableStyleMedium2" showFirstColumn="0" showLastColumn="0" showRowStripes="1" showColumnStripes="0"/>
</table>
</file>

<file path=xl/tables/table7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1" xr:uid="{B71141FD-BFE6-492B-AC50-26D4F5D8173E}" name="Tabela6132432425058667482" displayName="Tabela6132432425058667482" ref="E46:H51" totalsRowShown="0" headerRowDxfId="166" dataDxfId="165">
  <autoFilter ref="E46:H51" xr:uid="{6D56F5C9-55DC-4C17-8DBD-57EA33F134A7}"/>
  <tableColumns count="4">
    <tableColumn id="1" xr3:uid="{66A0A712-56C9-468A-8B4D-FA3B7EAEC6B3}" name="Mercado" dataDxfId="164"/>
    <tableColumn id="2" xr3:uid="{C5D4E88B-DD00-4116-98D0-21FDEA94FB13}" name="Valor" dataDxfId="163" dataCellStyle="Moeda"/>
    <tableColumn id="3" xr3:uid="{D5264FB7-AEC7-417C-9DCA-F8334A9CB6D9}" name="Total de itens" dataDxfId="162"/>
    <tableColumn id="4" xr3:uid="{963990B9-A9CF-43E8-92D9-16316CB4D6CC}" name="Data" dataDxfId="161"/>
  </tableColumns>
  <tableStyleInfo name="TableStyleMedium2" showFirstColumn="0" showLastColumn="0" showRowStripes="1" showColumnStripes="0"/>
</table>
</file>

<file path=xl/tables/table8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2" xr:uid="{15FE67A3-75C7-4E20-82BD-1C7B1002EA35}" name="Tabela7172534435159677583" displayName="Tabela7172534435159677583" ref="A37:C38" totalsRowShown="0" headerRowDxfId="160" dataDxfId="159">
  <autoFilter ref="A37:C38" xr:uid="{CE0C1D1B-44E2-4BB9-A602-CC568EE11C40}"/>
  <tableColumns count="3">
    <tableColumn id="1" xr3:uid="{C8ABF550-6064-43F6-82B3-E5A3FB99DF7A}" name="Cuidados Pessoais" dataDxfId="158"/>
    <tableColumn id="2" xr3:uid="{7ED3118F-5C9F-4ED4-BA42-A8B8F288ABB9}" name="Valor" dataDxfId="157"/>
    <tableColumn id="3" xr3:uid="{60199609-7CFB-4CBC-9727-5880C8D19FC8}" name="Data" dataDxfId="156"/>
  </tableColumns>
  <tableStyleInfo name="TableStyleMedium2" showFirstColumn="0" showLastColumn="0" showRowStripes="1" showColumnStripes="0"/>
</table>
</file>

<file path=xl/tables/table8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3" xr:uid="{D24FBE6C-2242-4E0F-B926-DF56D7AE87CC}" name="Tabela74182635445260687684" displayName="Tabela74182635445260687684" ref="A47:C48" totalsRowShown="0" headerRowDxfId="155" dataDxfId="154">
  <autoFilter ref="A47:C48" xr:uid="{3C276011-AF9C-44BA-BEBF-5E51E325C862}"/>
  <tableColumns count="3">
    <tableColumn id="1" xr3:uid="{25005CE3-C467-4A82-BA77-75FCB749A66A}" name="Lazer" dataDxfId="153"/>
    <tableColumn id="2" xr3:uid="{032601CA-B845-4A2B-9762-DABB8DC0FA4F}" name="Valor" dataDxfId="152"/>
    <tableColumn id="3" xr3:uid="{7CCBC521-EC3F-44FA-9A7D-B51E7A990C91}" name="Data" dataDxfId="151"/>
  </tableColumns>
  <tableStyleInfo name="TableStyleMedium2" showFirstColumn="0" showLastColumn="0" showRowStripes="1" showColumnStripes="0"/>
</table>
</file>

<file path=xl/tables/table8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4" xr:uid="{F36D38B2-61DF-4165-8D15-E29D02F6F239}" name="Tabela746192737455361697785" displayName="Tabela746192737455361697785" ref="A25:C27" totalsRowShown="0" headerRowDxfId="150">
  <autoFilter ref="A25:C27" xr:uid="{F6423AA8-8951-428D-B352-F56C76120CC5}"/>
  <tableColumns count="3">
    <tableColumn id="1" xr3:uid="{ED8FFFCE-64C0-47AB-A697-60FD2C6632DA}" name="Renda Extra" dataDxfId="149"/>
    <tableColumn id="2" xr3:uid="{B85DE8A2-AE36-47EF-9D91-DC5DDC9B687F}" name="Valor" dataDxfId="148"/>
    <tableColumn id="3" xr3:uid="{274C759A-8997-4672-8F22-DB3427CFAA47}" name="Data" dataDxfId="147"/>
  </tableColumns>
  <tableStyleInfo name="TableStyleMedium2" showFirstColumn="0" showLastColumn="0" showRowStripes="1" showColumnStripes="0"/>
</table>
</file>

<file path=xl/tables/table8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5" xr:uid="{D2474B63-D68D-4A40-855B-D85A63EAEA11}" name="Tabela8202838465462707886" displayName="Tabela8202838465462707886" ref="A4:B9" totalsRowShown="0">
  <autoFilter ref="A4:B9" xr:uid="{6D100D71-B3E3-407D-8F30-D38858D68DDE}"/>
  <tableColumns count="2">
    <tableColumn id="1" xr3:uid="{933E420D-D470-46AD-8216-14B947452342}" name="Receitas no mês"/>
    <tableColumn id="2" xr3:uid="{2553A931-6019-45F8-9AD2-6CFF0F67F5B1}" name="Valores" dataDxfId="146" dataCellStyle="Moeda"/>
  </tableColumns>
  <tableStyleInfo name="TableStyleMedium2" showFirstColumn="0" showLastColumn="0" showRowStripes="1" showColumnStripes="0"/>
</table>
</file>

<file path=xl/tables/table8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6" xr:uid="{CAB46435-E35B-4760-900D-6B21A5497E49}" name="Tabela3210212939475563717987" displayName="Tabela3210212939475563717987" ref="E24:J30" headerRowDxfId="145">
  <autoFilter ref="E24:J30" xr:uid="{80A322E9-B990-49FE-9185-2E59C2F318D3}"/>
  <tableColumns count="6">
    <tableColumn id="1" xr3:uid="{606359E3-1C2B-4C1D-8CB8-AABD4466B7AE}" name="Despesas Obrigatórias" totalsRowLabel="Total" totalsRowDxfId="144"/>
    <tableColumn id="2" xr3:uid="{0B588E25-D5BF-412F-838E-DD244FA993E8}" name="Valor" dataDxfId="143" totalsRowDxfId="142" dataCellStyle="Moeda"/>
    <tableColumn id="3" xr3:uid="{7216CAA8-64B1-4459-B34D-7F43DFDE9B06}" name="Data de Vencimento" dataDxfId="141" totalsRowDxfId="140"/>
    <tableColumn id="4" xr3:uid="{9650D24A-0E03-4A2D-9DB9-34CCA64D1020}" name="Data de Pagamento" dataDxfId="139" totalsRowDxfId="138"/>
    <tableColumn id="5" xr3:uid="{0A691659-5DC3-41C3-9E0D-B94167AEE820}" name="Dias de atraso" dataDxfId="137" totalsRowDxfId="136">
      <calculatedColumnFormula>IF(H25="","Sem data",IF(H25-G25&lt;0,"Pago antes do vencimento",H25-G25))</calculatedColumnFormula>
    </tableColumn>
    <tableColumn id="6" xr3:uid="{EB31516F-EEF6-41DF-98AD-070D2359A94D}" name="Status" totalsRowFunction="count" dataDxfId="135" totalsRowDxfId="134">
      <calculatedColumnFormula>IF(I25:I30="Sem data","Pagar","Pago")</calculatedColumnFormula>
    </tableColumn>
  </tableColumns>
  <tableStyleInfo name="TableStyleMedium2" showFirstColumn="0" showLastColumn="0" showRowStripes="1" showColumnStripes="0"/>
</table>
</file>

<file path=xl/tables/table8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7" xr:uid="{1C5B463F-ACE2-41DD-A326-D8AE21CFCD7B}" name="Tabela3511223040485664728088" displayName="Tabela3511223040485664728088" ref="A11:B14" totalsRowShown="0" headerRowDxfId="133" dataDxfId="132" headerRowCellStyle="Moeda" dataCellStyle="Moeda">
  <autoFilter ref="A11:B14" xr:uid="{A96EC1EC-AD3E-47F5-8830-577808F94595}"/>
  <tableColumns count="2">
    <tableColumn id="1" xr3:uid="{CD711FD7-0843-423C-B69A-F8F29A4EAAA9}" name="Saldo Líquido" dataDxfId="131" dataCellStyle="Moeda"/>
    <tableColumn id="2" xr3:uid="{68C0D546-E809-4DA2-AE74-052261D04B5C}" name=" Valores " dataDxfId="130" dataCellStyle="Moeda"/>
  </tableColumns>
  <tableStyleInfo name="TableStyleMedium2" showFirstColumn="0" showLastColumn="0" showRowStripes="1" showColumnStripes="0"/>
</table>
</file>

<file path=xl/tables/table8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8" xr:uid="{DFFA0FB4-0220-4E68-984C-75F3ABA5573F}" name="Tabela412233141495765738189" displayName="Tabela412233141495765738189" ref="E36:J37" totalsRowShown="0" headerRowDxfId="129" dataDxfId="128">
  <autoFilter ref="E36:J37" xr:uid="{B444264C-C631-4213-AC2F-8E7EC88339EE}"/>
  <tableColumns count="6">
    <tableColumn id="1" xr3:uid="{4B100828-F56A-4885-8DD9-89E9C5978E56}" name="Despesas Não Recorrentes" dataDxfId="127"/>
    <tableColumn id="2" xr3:uid="{E28A3A56-33BE-4950-A7FD-5BDC0799A866}" name="Valor" dataDxfId="126" dataCellStyle="Moeda"/>
    <tableColumn id="3" xr3:uid="{BE01577E-3097-4656-8461-ABEF66E133B9}" name="Data de Pagamento" dataDxfId="125"/>
    <tableColumn id="4" xr3:uid="{61CEF7EA-9908-49E5-B859-2072AD194ED6}" name="Descrição" dataDxfId="124"/>
    <tableColumn id="5" xr3:uid="{BB705FD2-3236-46F1-AEE9-7BBD42A5E796}" name="Forma de Pagamento" dataDxfId="123"/>
    <tableColumn id="6" xr3:uid="{BC0F8AAA-EAD7-42CC-A7A0-50818B49B0FD}" name="Status" dataDxfId="122"/>
  </tableColumns>
  <tableStyleInfo name="TableStyleMedium2" showFirstColumn="0" showLastColumn="0" showRowStripes="1" showColumnStripes="0"/>
</table>
</file>

<file path=xl/tables/table8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9" xr:uid="{2754B6CB-C5D5-4937-9F47-1E6F3BC7309E}" name="Tabela613243242505866748290" displayName="Tabela613243242505866748290" ref="E44:H45" totalsRowShown="0" headerRowDxfId="121" dataDxfId="120">
  <autoFilter ref="E44:H45" xr:uid="{6D56F5C9-55DC-4C17-8DBD-57EA33F134A7}"/>
  <tableColumns count="4">
    <tableColumn id="1" xr3:uid="{D030EC30-EDA1-414B-8706-A7642CB06C5B}" name="Mercado" dataDxfId="119"/>
    <tableColumn id="2" xr3:uid="{3BA1F647-9E4F-43B9-898E-0054E88AC195}" name="Valor" dataDxfId="118" dataCellStyle="Moeda"/>
    <tableColumn id="3" xr3:uid="{B3163EB1-7A6D-427B-B47D-BDA34554776A}" name="Total de itens" dataDxfId="117"/>
    <tableColumn id="4" xr3:uid="{1D24C099-CCCD-42D1-AC41-9ED6B8AE2874}" name="Data" dataDxfId="116"/>
  </tableColumns>
  <tableStyleInfo name="TableStyleMedium2" showFirstColumn="0" showLastColumn="0" showRowStripes="1" showColumnStripes="0"/>
</table>
</file>

<file path=xl/tables/table8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0" xr:uid="{36C6A53B-8423-4A46-B72F-483B14A9333A}" name="Tabela717253443515967758391" displayName="Tabela717253443515967758391" ref="A37:C38" totalsRowShown="0" headerRowDxfId="115" dataDxfId="114">
  <autoFilter ref="A37:C38" xr:uid="{CE0C1D1B-44E2-4BB9-A602-CC568EE11C40}"/>
  <tableColumns count="3">
    <tableColumn id="1" xr3:uid="{372FD31B-2694-4BD0-9481-5692C908CF2D}" name="Cuidados Pessoais" dataDxfId="113"/>
    <tableColumn id="2" xr3:uid="{1410FA11-ADDF-4F3D-B50F-780EA3B9D168}" name="Valor" dataDxfId="112"/>
    <tableColumn id="3" xr3:uid="{E2E76A61-5307-4651-A55B-492AC80F2E68}" name="Data" dataDxfId="111"/>
  </tableColumns>
  <tableStyleInfo name="TableStyleMedium2" showFirstColumn="0" showLastColumn="0" showRowStripes="1" showColumnStripes="0"/>
</table>
</file>

<file path=xl/tables/table8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1" xr:uid="{F86BE7A8-85FD-481A-8D22-A3BD230004D3}" name="Tabela7418263544526068768492" displayName="Tabela7418263544526068768492" ref="A45:C46" totalsRowShown="0" headerRowDxfId="110" dataDxfId="109">
  <autoFilter ref="A45:C46" xr:uid="{3C276011-AF9C-44BA-BEBF-5E51E325C862}"/>
  <tableColumns count="3">
    <tableColumn id="1" xr3:uid="{9F3A0253-BD70-4705-85F1-66096091DBEF}" name="Lazer" dataDxfId="108"/>
    <tableColumn id="2" xr3:uid="{954C9505-F43E-4EB6-B757-339A34277ADB}" name="Valor" dataDxfId="107"/>
    <tableColumn id="3" xr3:uid="{069D4E91-FE7B-4E16-B2AF-E23D54E95F20}" name="Data" dataDxfId="106"/>
  </tableColumns>
  <tableStyleInfo name="TableStyleMedium2" showFirstColumn="0" showLastColumn="0" showRowStripes="1" showColumnStripes="0"/>
</table>
</file>

<file path=xl/tables/table9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2" xr:uid="{95119FB2-3C51-4901-AF92-6E209F8FA8A5}" name="Tabela74619273745536169778593" displayName="Tabela74619273745536169778593" ref="A24:C25" totalsRowShown="0" headerRowDxfId="105" dataDxfId="104">
  <autoFilter ref="A24:C25" xr:uid="{F6423AA8-8951-428D-B352-F56C76120CC5}"/>
  <tableColumns count="3">
    <tableColumn id="1" xr3:uid="{6AB36E0E-557A-4463-9065-49025216B6B5}" name="Renda Extra" dataDxfId="103"/>
    <tableColumn id="2" xr3:uid="{B8D89ADD-84DE-4BBF-99AF-3F7CCC2E89D5}" name="Valor" dataDxfId="102"/>
    <tableColumn id="3" xr3:uid="{ECEF3526-1985-40BD-92AD-C257A4CE7667}" name="Data" dataDxfId="101"/>
  </tableColumns>
  <tableStyleInfo name="TableStyleMedium2" showFirstColumn="0" showLastColumn="0" showRowStripes="1" showColumnStripes="0"/>
</table>
</file>

<file path=xl/tables/table9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3" xr:uid="{8E00C81D-1534-4AE9-BF34-E3F08003F493}" name="Tabela820283846546270788694" displayName="Tabela820283846546270788694" ref="A4:B9" totalsRowShown="0">
  <autoFilter ref="A4:B9" xr:uid="{6D100D71-B3E3-407D-8F30-D38858D68DDE}"/>
  <tableColumns count="2">
    <tableColumn id="1" xr3:uid="{90DA0477-162B-4887-89DB-2F8CDAB64257}" name="Receitas no mês"/>
    <tableColumn id="2" xr3:uid="{84F72E13-9E93-46AD-A92F-3ADFCB64A031}" name="Valores" dataDxfId="100" dataCellStyle="Moeda"/>
  </tableColumns>
  <tableStyleInfo name="TableStyleMedium2" showFirstColumn="0" showLastColumn="0" showRowStripes="1" showColumnStripes="0"/>
</table>
</file>

<file path=xl/tables/table9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4" xr:uid="{06404B00-765F-4728-AEE9-6893FCD73F33}" name="Tabela321021293947556371798795" displayName="Tabela321021293947556371798795" ref="E25:J31" headerRowDxfId="99" dataDxfId="98">
  <autoFilter ref="E25:J31" xr:uid="{80A322E9-B990-49FE-9185-2E59C2F318D3}"/>
  <tableColumns count="6">
    <tableColumn id="1" xr3:uid="{654F43F3-FF08-4283-9676-FE49264FB35D}" name="Despesas Obrigatórias" totalsRowLabel="Total" dataDxfId="97" totalsRowDxfId="96"/>
    <tableColumn id="2" xr3:uid="{22A222A0-009A-47E7-A7B4-D8B4ABA5449E}" name="Valor" dataDxfId="95" totalsRowDxfId="94" dataCellStyle="Moeda"/>
    <tableColumn id="3" xr3:uid="{D090A323-723B-4494-B536-9144196429CA}" name="Data de Vencimento" dataDxfId="93" totalsRowDxfId="92"/>
    <tableColumn id="4" xr3:uid="{E1A83584-2399-49A5-935A-AC6B7A15CEE2}" name="Data de Pagamento" dataDxfId="91" totalsRowDxfId="90"/>
    <tableColumn id="5" xr3:uid="{6DBF6BDA-489D-4F8A-B023-9FB515CDEF2A}" name="Dias de atraso" dataDxfId="89" totalsRowDxfId="88">
      <calculatedColumnFormula>IF(H26="","Sem data",IF(H26-G26&lt;0,"Pago antes do vencimento",H26-G26))</calculatedColumnFormula>
    </tableColumn>
    <tableColumn id="6" xr3:uid="{57936C3A-DAE2-4126-B751-664818F76E1D}" name="Status" totalsRowFunction="count" dataDxfId="87" totalsRowDxfId="86">
      <calculatedColumnFormula>IF(I26:I31="Sem data","Pagar","Pago")</calculatedColumnFormula>
    </tableColumn>
  </tableColumns>
  <tableStyleInfo name="TableStyleMedium2" showFirstColumn="0" showLastColumn="0" showRowStripes="1" showColumnStripes="0"/>
</table>
</file>

<file path=xl/tables/table9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5" xr:uid="{3426B5AC-9A4E-4D8F-8104-78DD1803F295}" name="Tabela351122304048566472808896" displayName="Tabela351122304048566472808896" ref="A11:B14" totalsRowShown="0" headerRowDxfId="85" dataDxfId="84" headerRowCellStyle="Moeda" dataCellStyle="Moeda">
  <autoFilter ref="A11:B14" xr:uid="{A96EC1EC-AD3E-47F5-8830-577808F94595}"/>
  <tableColumns count="2">
    <tableColumn id="1" xr3:uid="{4AA2B090-6D74-4823-9463-4C33B76F94E1}" name="Saldo Líquido" dataDxfId="83" dataCellStyle="Moeda"/>
    <tableColumn id="2" xr3:uid="{C3664E6F-C2F9-486F-89E5-C8056324A30C}" name=" Valores " dataDxfId="82" dataCellStyle="Moeda"/>
  </tableColumns>
  <tableStyleInfo name="TableStyleMedium2" showFirstColumn="0" showLastColumn="0" showRowStripes="1" showColumnStripes="0"/>
</table>
</file>

<file path=xl/tables/table9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6" xr:uid="{D8A429B4-7937-4AEA-8FBE-0FBEFED2C467}" name="Tabela41223314149576573818997" displayName="Tabela41223314149576573818997" ref="E37:J43" totalsRowShown="0" headerRowDxfId="81" dataDxfId="80">
  <autoFilter ref="E37:J43" xr:uid="{B444264C-C631-4213-AC2F-8E7EC88339EE}"/>
  <tableColumns count="6">
    <tableColumn id="1" xr3:uid="{943493D1-2E8C-410E-9A08-C490416C9EF5}" name="Despesas Não Recorrentes" dataDxfId="79"/>
    <tableColumn id="2" xr3:uid="{DAAD65D9-47C6-477C-833B-E759ADEF92FE}" name="Valor" dataDxfId="78" dataCellStyle="Moeda"/>
    <tableColumn id="3" xr3:uid="{29201437-0E81-4E18-B243-91A879FEA588}" name="Data de Pagamento" dataDxfId="77"/>
    <tableColumn id="4" xr3:uid="{6A4DE600-F4A4-4FD3-AE5A-78B359069FBD}" name="Descrição" dataDxfId="76"/>
    <tableColumn id="5" xr3:uid="{0EBF35AA-F450-493D-AF01-7A371A560FBB}" name="Forma de Pagamento" dataDxfId="75"/>
    <tableColumn id="6" xr3:uid="{12B53653-3F24-4EED-8D82-B34656E53545}" name="Status" dataDxfId="74"/>
  </tableColumns>
  <tableStyleInfo name="TableStyleMedium2" showFirstColumn="0" showLastColumn="0" showRowStripes="1" showColumnStripes="0"/>
</table>
</file>

<file path=xl/tables/table9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7" xr:uid="{7895E7F1-EC78-49A4-A210-5F4C3AB728AB}" name="Tabela61324324250586674829098" displayName="Tabela61324324250586674829098" ref="E52:H58" totalsRowShown="0" headerRowDxfId="73" dataDxfId="72">
  <autoFilter ref="E52:H58" xr:uid="{6D56F5C9-55DC-4C17-8DBD-57EA33F134A7}"/>
  <tableColumns count="4">
    <tableColumn id="1" xr3:uid="{A3DD6428-82AB-4EFC-BA4E-851C1D325144}" name="Mercado" dataDxfId="71"/>
    <tableColumn id="2" xr3:uid="{F4D31A66-5E42-464D-9298-B0F4C8A104D0}" name="Valor" dataDxfId="70" dataCellStyle="Moeda"/>
    <tableColumn id="3" xr3:uid="{B863A2D7-287B-47EB-BC52-4F4683214E6D}" name="Total de itens" dataDxfId="69"/>
    <tableColumn id="4" xr3:uid="{5F9DA56D-EE71-47F9-8DA8-B98602A424C4}" name="Data" dataDxfId="68"/>
  </tableColumns>
  <tableStyleInfo name="TableStyleMedium2" showFirstColumn="0" showLastColumn="0" showRowStripes="1" showColumnStripes="0"/>
</table>
</file>

<file path=xl/tables/table9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8" xr:uid="{61B315CC-78DC-46E6-9A00-6E1E66D4851E}" name="Tabela71725344351596775839199" displayName="Tabela71725344351596775839199" ref="A36:C42" totalsRowShown="0" headerRowDxfId="67" dataDxfId="66">
  <autoFilter ref="A36:C42" xr:uid="{CE0C1D1B-44E2-4BB9-A602-CC568EE11C40}"/>
  <tableColumns count="3">
    <tableColumn id="1" xr3:uid="{3666C0FF-97D7-4CA1-BECC-75EE032CD0A7}" name="Cuidados Pessoais" dataDxfId="65"/>
    <tableColumn id="2" xr3:uid="{C8A9E1C4-F7F4-40C2-AC98-1A4F0907813D}" name="Valor" dataDxfId="64"/>
    <tableColumn id="3" xr3:uid="{507B94B5-3C1F-4C60-880C-60931D37BA4E}" name="Data" dataDxfId="63"/>
  </tableColumns>
  <tableStyleInfo name="TableStyleMedium2" showFirstColumn="0" showLastColumn="0" showRowStripes="1" showColumnStripes="0"/>
</table>
</file>

<file path=xl/tables/table9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9" xr:uid="{61B5A5FB-B2F3-44DD-BC33-42A57B4769E7}" name="Tabela7418263544526068768492100" displayName="Tabela7418263544526068768492100" ref="A51:C57" totalsRowShown="0" headerRowDxfId="62" dataDxfId="61">
  <autoFilter ref="A51:C57" xr:uid="{3C276011-AF9C-44BA-BEBF-5E51E325C862}"/>
  <tableColumns count="3">
    <tableColumn id="1" xr3:uid="{C024512F-9217-407B-B8E6-6B7D3B0DA9FA}" name="Lazer" dataDxfId="60"/>
    <tableColumn id="2" xr3:uid="{16C45AC7-81B0-4B6E-BC20-5C7B24F1BC34}" name="Valor" dataDxfId="59"/>
    <tableColumn id="3" xr3:uid="{A2953D83-93E7-48C4-B75F-E13554157D8E}" name="Data" dataDxfId="58"/>
  </tableColumns>
  <tableStyleInfo name="TableStyleMedium2" showFirstColumn="0" showLastColumn="0" showRowStripes="1" showColumnStripes="0"/>
</table>
</file>

<file path=xl/tables/table9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0" xr:uid="{7F679DC6-EEFC-437D-A1DF-E163660E6B22}" name="Tabela74619273745536169778593101" displayName="Tabela74619273745536169778593101" ref="A25:C27" totalsRowShown="0" headerRowDxfId="57" dataDxfId="56">
  <autoFilter ref="A25:C27" xr:uid="{F6423AA8-8951-428D-B352-F56C76120CC5}"/>
  <tableColumns count="3">
    <tableColumn id="1" xr3:uid="{61D13EBE-9EA3-4192-8EA8-947209AE0E1A}" name="Renda Extra" dataDxfId="55"/>
    <tableColumn id="2" xr3:uid="{2DCB5B19-30CA-4E6C-BCC6-45B69040DF76}" name="Valor" dataDxfId="54"/>
    <tableColumn id="3" xr3:uid="{92E8052D-CBCD-4D9C-A8A0-977AE6ED5940}" name="Data" dataDxfId="53"/>
  </tableColumns>
  <tableStyleInfo name="TableStyleMedium2" showFirstColumn="0" showLastColumn="0" showRowStripes="1" showColumnStripes="0"/>
</table>
</file>

<file path=xl/tables/table9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1" xr:uid="{E1F80B82-4CD7-4EB5-8351-8E663F8665F3}" name="Tabela820283846546270788694102" displayName="Tabela820283846546270788694102" ref="A4:B9" totalsRowShown="0">
  <autoFilter ref="A4:B9" xr:uid="{6D100D71-B3E3-407D-8F30-D38858D68DDE}"/>
  <tableColumns count="2">
    <tableColumn id="1" xr3:uid="{E60B1899-591B-4C1E-9493-A58154CB0EC1}" name="Receitas no mês"/>
    <tableColumn id="2" xr3:uid="{DDDD0411-B918-4AB6-8B63-9C6B5EF532F3}" name="Valores" dataDxfId="52" dataCellStyle="Moeda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8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7.xml"/><Relationship Id="rId12" Type="http://schemas.openxmlformats.org/officeDocument/2006/relationships/comments" Target="../comments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6.xml"/><Relationship Id="rId11" Type="http://schemas.openxmlformats.org/officeDocument/2006/relationships/table" Target="../tables/table11.xml"/><Relationship Id="rId5" Type="http://schemas.openxmlformats.org/officeDocument/2006/relationships/table" Target="../tables/table5.xml"/><Relationship Id="rId10" Type="http://schemas.openxmlformats.org/officeDocument/2006/relationships/table" Target="../tables/table10.xml"/><Relationship Id="rId4" Type="http://schemas.openxmlformats.org/officeDocument/2006/relationships/table" Target="../tables/table4.xml"/><Relationship Id="rId9" Type="http://schemas.openxmlformats.org/officeDocument/2006/relationships/table" Target="../tables/table9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6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15.xml"/><Relationship Id="rId12" Type="http://schemas.openxmlformats.org/officeDocument/2006/relationships/comments" Target="../comments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14.xml"/><Relationship Id="rId11" Type="http://schemas.openxmlformats.org/officeDocument/2006/relationships/table" Target="../tables/table19.xml"/><Relationship Id="rId5" Type="http://schemas.openxmlformats.org/officeDocument/2006/relationships/table" Target="../tables/table13.xml"/><Relationship Id="rId10" Type="http://schemas.openxmlformats.org/officeDocument/2006/relationships/table" Target="../tables/table18.xml"/><Relationship Id="rId4" Type="http://schemas.openxmlformats.org/officeDocument/2006/relationships/table" Target="../tables/table12.xml"/><Relationship Id="rId9" Type="http://schemas.openxmlformats.org/officeDocument/2006/relationships/table" Target="../tables/table17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24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23.xml"/><Relationship Id="rId12" Type="http://schemas.openxmlformats.org/officeDocument/2006/relationships/comments" Target="../comments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22.xml"/><Relationship Id="rId11" Type="http://schemas.openxmlformats.org/officeDocument/2006/relationships/table" Target="../tables/table27.xml"/><Relationship Id="rId5" Type="http://schemas.openxmlformats.org/officeDocument/2006/relationships/table" Target="../tables/table21.xml"/><Relationship Id="rId10" Type="http://schemas.openxmlformats.org/officeDocument/2006/relationships/table" Target="../tables/table26.xml"/><Relationship Id="rId4" Type="http://schemas.openxmlformats.org/officeDocument/2006/relationships/table" Target="../tables/table20.xml"/><Relationship Id="rId9" Type="http://schemas.openxmlformats.org/officeDocument/2006/relationships/table" Target="../tables/table25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table" Target="../tables/table32.xml"/><Relationship Id="rId3" Type="http://schemas.openxmlformats.org/officeDocument/2006/relationships/vmlDrawing" Target="../drawings/vmlDrawing4.vml"/><Relationship Id="rId7" Type="http://schemas.openxmlformats.org/officeDocument/2006/relationships/table" Target="../tables/table31.xml"/><Relationship Id="rId12" Type="http://schemas.openxmlformats.org/officeDocument/2006/relationships/comments" Target="../comments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30.xml"/><Relationship Id="rId11" Type="http://schemas.openxmlformats.org/officeDocument/2006/relationships/table" Target="../tables/table35.xml"/><Relationship Id="rId5" Type="http://schemas.openxmlformats.org/officeDocument/2006/relationships/table" Target="../tables/table29.xml"/><Relationship Id="rId10" Type="http://schemas.openxmlformats.org/officeDocument/2006/relationships/table" Target="../tables/table34.xml"/><Relationship Id="rId4" Type="http://schemas.openxmlformats.org/officeDocument/2006/relationships/table" Target="../tables/table28.xml"/><Relationship Id="rId9" Type="http://schemas.openxmlformats.org/officeDocument/2006/relationships/table" Target="../tables/table3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table" Target="../tables/table40.xml"/><Relationship Id="rId3" Type="http://schemas.openxmlformats.org/officeDocument/2006/relationships/vmlDrawing" Target="../drawings/vmlDrawing5.vml"/><Relationship Id="rId7" Type="http://schemas.openxmlformats.org/officeDocument/2006/relationships/table" Target="../tables/table39.xml"/><Relationship Id="rId12" Type="http://schemas.openxmlformats.org/officeDocument/2006/relationships/comments" Target="../comments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table" Target="../tables/table38.xml"/><Relationship Id="rId11" Type="http://schemas.openxmlformats.org/officeDocument/2006/relationships/table" Target="../tables/table43.xml"/><Relationship Id="rId5" Type="http://schemas.openxmlformats.org/officeDocument/2006/relationships/table" Target="../tables/table37.xml"/><Relationship Id="rId10" Type="http://schemas.openxmlformats.org/officeDocument/2006/relationships/table" Target="../tables/table42.xml"/><Relationship Id="rId4" Type="http://schemas.openxmlformats.org/officeDocument/2006/relationships/table" Target="../tables/table36.xml"/><Relationship Id="rId9" Type="http://schemas.openxmlformats.org/officeDocument/2006/relationships/table" Target="../tables/table41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table" Target="../tables/table48.xml"/><Relationship Id="rId3" Type="http://schemas.openxmlformats.org/officeDocument/2006/relationships/vmlDrawing" Target="../drawings/vmlDrawing6.vml"/><Relationship Id="rId7" Type="http://schemas.openxmlformats.org/officeDocument/2006/relationships/table" Target="../tables/table47.xml"/><Relationship Id="rId12" Type="http://schemas.openxmlformats.org/officeDocument/2006/relationships/comments" Target="../comments6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table" Target="../tables/table46.xml"/><Relationship Id="rId11" Type="http://schemas.openxmlformats.org/officeDocument/2006/relationships/table" Target="../tables/table51.xml"/><Relationship Id="rId5" Type="http://schemas.openxmlformats.org/officeDocument/2006/relationships/table" Target="../tables/table45.xml"/><Relationship Id="rId10" Type="http://schemas.openxmlformats.org/officeDocument/2006/relationships/table" Target="../tables/table50.xml"/><Relationship Id="rId4" Type="http://schemas.openxmlformats.org/officeDocument/2006/relationships/table" Target="../tables/table44.xml"/><Relationship Id="rId9" Type="http://schemas.openxmlformats.org/officeDocument/2006/relationships/table" Target="../tables/table49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table" Target="../tables/table56.xml"/><Relationship Id="rId3" Type="http://schemas.openxmlformats.org/officeDocument/2006/relationships/vmlDrawing" Target="../drawings/vmlDrawing7.vml"/><Relationship Id="rId7" Type="http://schemas.openxmlformats.org/officeDocument/2006/relationships/table" Target="../tables/table55.xml"/><Relationship Id="rId12" Type="http://schemas.openxmlformats.org/officeDocument/2006/relationships/comments" Target="../comments7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6" Type="http://schemas.openxmlformats.org/officeDocument/2006/relationships/table" Target="../tables/table54.xml"/><Relationship Id="rId11" Type="http://schemas.openxmlformats.org/officeDocument/2006/relationships/table" Target="../tables/table59.xml"/><Relationship Id="rId5" Type="http://schemas.openxmlformats.org/officeDocument/2006/relationships/table" Target="../tables/table53.xml"/><Relationship Id="rId10" Type="http://schemas.openxmlformats.org/officeDocument/2006/relationships/table" Target="../tables/table58.xml"/><Relationship Id="rId4" Type="http://schemas.openxmlformats.org/officeDocument/2006/relationships/table" Target="../tables/table52.xml"/><Relationship Id="rId9" Type="http://schemas.openxmlformats.org/officeDocument/2006/relationships/table" Target="../tables/table57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table" Target="../tables/table64.xml"/><Relationship Id="rId3" Type="http://schemas.openxmlformats.org/officeDocument/2006/relationships/vmlDrawing" Target="../drawings/vmlDrawing8.vml"/><Relationship Id="rId7" Type="http://schemas.openxmlformats.org/officeDocument/2006/relationships/table" Target="../tables/table63.xml"/><Relationship Id="rId12" Type="http://schemas.openxmlformats.org/officeDocument/2006/relationships/comments" Target="../comments8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6" Type="http://schemas.openxmlformats.org/officeDocument/2006/relationships/table" Target="../tables/table62.xml"/><Relationship Id="rId11" Type="http://schemas.openxmlformats.org/officeDocument/2006/relationships/table" Target="../tables/table67.xml"/><Relationship Id="rId5" Type="http://schemas.openxmlformats.org/officeDocument/2006/relationships/table" Target="../tables/table61.xml"/><Relationship Id="rId10" Type="http://schemas.openxmlformats.org/officeDocument/2006/relationships/table" Target="../tables/table66.xml"/><Relationship Id="rId4" Type="http://schemas.openxmlformats.org/officeDocument/2006/relationships/table" Target="../tables/table60.xml"/><Relationship Id="rId9" Type="http://schemas.openxmlformats.org/officeDocument/2006/relationships/table" Target="../tables/table65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2.xml"/><Relationship Id="rId3" Type="http://schemas.openxmlformats.org/officeDocument/2006/relationships/vmlDrawing" Target="../drawings/vmlDrawing9.vml"/><Relationship Id="rId7" Type="http://schemas.openxmlformats.org/officeDocument/2006/relationships/table" Target="../tables/table71.xml"/><Relationship Id="rId12" Type="http://schemas.openxmlformats.org/officeDocument/2006/relationships/comments" Target="../comments9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6" Type="http://schemas.openxmlformats.org/officeDocument/2006/relationships/table" Target="../tables/table70.xml"/><Relationship Id="rId11" Type="http://schemas.openxmlformats.org/officeDocument/2006/relationships/table" Target="../tables/table75.xml"/><Relationship Id="rId5" Type="http://schemas.openxmlformats.org/officeDocument/2006/relationships/table" Target="../tables/table69.xml"/><Relationship Id="rId10" Type="http://schemas.openxmlformats.org/officeDocument/2006/relationships/table" Target="../tables/table74.xml"/><Relationship Id="rId4" Type="http://schemas.openxmlformats.org/officeDocument/2006/relationships/table" Target="../tables/table68.xml"/><Relationship Id="rId9" Type="http://schemas.openxmlformats.org/officeDocument/2006/relationships/table" Target="../tables/table73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80.xml"/><Relationship Id="rId3" Type="http://schemas.openxmlformats.org/officeDocument/2006/relationships/vmlDrawing" Target="../drawings/vmlDrawing10.vml"/><Relationship Id="rId7" Type="http://schemas.openxmlformats.org/officeDocument/2006/relationships/table" Target="../tables/table79.xml"/><Relationship Id="rId12" Type="http://schemas.openxmlformats.org/officeDocument/2006/relationships/comments" Target="../comments10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6" Type="http://schemas.openxmlformats.org/officeDocument/2006/relationships/table" Target="../tables/table78.xml"/><Relationship Id="rId11" Type="http://schemas.openxmlformats.org/officeDocument/2006/relationships/table" Target="../tables/table83.xml"/><Relationship Id="rId5" Type="http://schemas.openxmlformats.org/officeDocument/2006/relationships/table" Target="../tables/table77.xml"/><Relationship Id="rId10" Type="http://schemas.openxmlformats.org/officeDocument/2006/relationships/table" Target="../tables/table82.xml"/><Relationship Id="rId4" Type="http://schemas.openxmlformats.org/officeDocument/2006/relationships/table" Target="../tables/table76.xml"/><Relationship Id="rId9" Type="http://schemas.openxmlformats.org/officeDocument/2006/relationships/table" Target="../tables/table81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88.xml"/><Relationship Id="rId3" Type="http://schemas.openxmlformats.org/officeDocument/2006/relationships/vmlDrawing" Target="../drawings/vmlDrawing11.vml"/><Relationship Id="rId7" Type="http://schemas.openxmlformats.org/officeDocument/2006/relationships/table" Target="../tables/table87.xml"/><Relationship Id="rId12" Type="http://schemas.openxmlformats.org/officeDocument/2006/relationships/comments" Target="../comments11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6" Type="http://schemas.openxmlformats.org/officeDocument/2006/relationships/table" Target="../tables/table86.xml"/><Relationship Id="rId11" Type="http://schemas.openxmlformats.org/officeDocument/2006/relationships/table" Target="../tables/table91.xml"/><Relationship Id="rId5" Type="http://schemas.openxmlformats.org/officeDocument/2006/relationships/table" Target="../tables/table85.xml"/><Relationship Id="rId10" Type="http://schemas.openxmlformats.org/officeDocument/2006/relationships/table" Target="../tables/table90.xml"/><Relationship Id="rId4" Type="http://schemas.openxmlformats.org/officeDocument/2006/relationships/table" Target="../tables/table84.xml"/><Relationship Id="rId9" Type="http://schemas.openxmlformats.org/officeDocument/2006/relationships/table" Target="../tables/table89.xm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96.xml"/><Relationship Id="rId3" Type="http://schemas.openxmlformats.org/officeDocument/2006/relationships/vmlDrawing" Target="../drawings/vmlDrawing12.vml"/><Relationship Id="rId7" Type="http://schemas.openxmlformats.org/officeDocument/2006/relationships/table" Target="../tables/table95.xml"/><Relationship Id="rId12" Type="http://schemas.openxmlformats.org/officeDocument/2006/relationships/comments" Target="../comments12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Relationship Id="rId6" Type="http://schemas.openxmlformats.org/officeDocument/2006/relationships/table" Target="../tables/table94.xml"/><Relationship Id="rId11" Type="http://schemas.openxmlformats.org/officeDocument/2006/relationships/table" Target="../tables/table99.xml"/><Relationship Id="rId5" Type="http://schemas.openxmlformats.org/officeDocument/2006/relationships/table" Target="../tables/table93.xml"/><Relationship Id="rId10" Type="http://schemas.openxmlformats.org/officeDocument/2006/relationships/table" Target="../tables/table98.xml"/><Relationship Id="rId4" Type="http://schemas.openxmlformats.org/officeDocument/2006/relationships/table" Target="../tables/table92.xml"/><Relationship Id="rId9" Type="http://schemas.openxmlformats.org/officeDocument/2006/relationships/table" Target="../tables/table9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A8C2A1-5916-4380-AF5A-0FEE6B5337BF}">
  <sheetPr codeName="Planilha1"/>
  <dimension ref="A1:O50"/>
  <sheetViews>
    <sheetView showGridLines="0" showRowColHeaders="0" topLeftCell="A4" zoomScale="89" zoomScaleNormal="89" workbookViewId="0">
      <selection activeCell="F21" sqref="F21"/>
    </sheetView>
  </sheetViews>
  <sheetFormatPr defaultColWidth="0" defaultRowHeight="15" x14ac:dyDescent="0.25"/>
  <cols>
    <col min="1" max="1" width="17.5703125" customWidth="1"/>
    <col min="2" max="2" width="20" customWidth="1"/>
    <col min="3" max="3" width="21.140625" bestFit="1" customWidth="1"/>
    <col min="4" max="4" width="17.5703125" customWidth="1"/>
    <col min="5" max="5" width="16.140625" customWidth="1"/>
    <col min="6" max="6" width="22.42578125" bestFit="1" customWidth="1"/>
    <col min="7" max="7" width="10.28515625" customWidth="1"/>
    <col min="8" max="8" width="12.42578125" customWidth="1"/>
    <col min="9" max="9" width="26.85546875" bestFit="1" customWidth="1"/>
    <col min="10" max="10" width="20.140625" customWidth="1"/>
    <col min="11" max="11" width="36.7109375" bestFit="1" customWidth="1"/>
    <col min="12" max="15" width="9.140625" customWidth="1"/>
    <col min="16" max="16384" width="9.140625" hidden="1"/>
  </cols>
  <sheetData>
    <row r="1" spans="1:11" s="50" customFormat="1" ht="18.75" x14ac:dyDescent="0.3">
      <c r="I1" s="103" t="s">
        <v>86</v>
      </c>
      <c r="J1" s="104">
        <f>MIN(Tabela103[[     Total Despesas]])</f>
        <v>225</v>
      </c>
      <c r="K1" s="106" t="str">
        <f>INDEX(Tabela103[[Mês]:[     Total Despesas]],MATCH(J1,Tabela103[[     Total Despesas]],0),1)</f>
        <v>Janeiro</v>
      </c>
    </row>
    <row r="2" spans="1:11" s="50" customFormat="1" ht="18.75" x14ac:dyDescent="0.3">
      <c r="I2" s="103" t="s">
        <v>87</v>
      </c>
      <c r="J2" s="104">
        <f>MAX(Tabela103[[     Total Despesas]])</f>
        <v>2233.36</v>
      </c>
      <c r="K2" s="106" t="str">
        <f>INDEX(Tabela103[[Mês]:[     Total Despesas]],MATCH(J2,Tabela103[[     Total Despesas]],0),1)</f>
        <v>Abril</v>
      </c>
    </row>
    <row r="3" spans="1:11" s="50" customFormat="1" x14ac:dyDescent="0.25"/>
    <row r="4" spans="1:11" s="50" customFormat="1" x14ac:dyDescent="0.25"/>
    <row r="5" spans="1:11" s="3" customFormat="1" x14ac:dyDescent="0.25"/>
    <row r="8" spans="1:11" x14ac:dyDescent="0.25">
      <c r="A8" t="s">
        <v>64</v>
      </c>
      <c r="B8" s="7" t="s">
        <v>71</v>
      </c>
    </row>
    <row r="9" spans="1:11" x14ac:dyDescent="0.25">
      <c r="A9" s="24" t="s">
        <v>69</v>
      </c>
      <c r="B9" s="51">
        <f>Tabela102[[#Totals],[Obrigatórias]]</f>
        <v>12067.64</v>
      </c>
    </row>
    <row r="10" spans="1:11" x14ac:dyDescent="0.25">
      <c r="A10" s="24" t="s">
        <v>63</v>
      </c>
      <c r="B10" s="51">
        <f>Tabela102[[#Totals],[Não Recorrentes ]]</f>
        <v>113.62</v>
      </c>
    </row>
    <row r="11" spans="1:11" x14ac:dyDescent="0.25">
      <c r="A11" s="24" t="s">
        <v>43</v>
      </c>
      <c r="B11" s="51">
        <f>Tabela102[[#Totals],[Lazer]]</f>
        <v>5</v>
      </c>
    </row>
    <row r="12" spans="1:11" x14ac:dyDescent="0.25">
      <c r="A12" s="24" t="s">
        <v>7</v>
      </c>
      <c r="B12" s="51">
        <f>Tabela102[[#Totals],[Mercado]]</f>
        <v>861.62</v>
      </c>
    </row>
    <row r="13" spans="1:11" x14ac:dyDescent="0.25">
      <c r="A13" s="24" t="s">
        <v>42</v>
      </c>
      <c r="B13" s="51">
        <f>Tabela102[[#Totals],[Cuidados Pessoais]]</f>
        <v>86</v>
      </c>
      <c r="C13" s="14"/>
      <c r="D13" s="14"/>
      <c r="E13" s="14"/>
    </row>
    <row r="14" spans="1:11" x14ac:dyDescent="0.25">
      <c r="A14" s="24"/>
      <c r="B14" s="51"/>
      <c r="C14" s="14"/>
      <c r="D14" s="14"/>
      <c r="E14" s="14"/>
    </row>
    <row r="16" spans="1:11" ht="21" customHeight="1" x14ac:dyDescent="0.25"/>
    <row r="17" spans="1:11" x14ac:dyDescent="0.25">
      <c r="A17" s="55"/>
      <c r="B17" s="51"/>
    </row>
    <row r="18" spans="1:11" x14ac:dyDescent="0.25">
      <c r="A18" s="7" t="s">
        <v>61</v>
      </c>
      <c r="B18" s="7" t="s">
        <v>69</v>
      </c>
      <c r="C18" s="7" t="s">
        <v>62</v>
      </c>
      <c r="D18" s="7" t="s">
        <v>43</v>
      </c>
      <c r="E18" s="7" t="s">
        <v>7</v>
      </c>
      <c r="F18" s="7" t="s">
        <v>42</v>
      </c>
      <c r="H18" s="7" t="s">
        <v>61</v>
      </c>
      <c r="I18" s="7" t="s">
        <v>67</v>
      </c>
      <c r="J18" s="7" t="s">
        <v>65</v>
      </c>
      <c r="K18" s="7" t="s">
        <v>66</v>
      </c>
    </row>
    <row r="19" spans="1:11" x14ac:dyDescent="0.25">
      <c r="A19" s="53" t="s">
        <v>49</v>
      </c>
      <c r="B19" s="68">
        <f>Jan!F27</f>
        <v>0</v>
      </c>
      <c r="C19" s="68">
        <f>Jan!F35</f>
        <v>20</v>
      </c>
      <c r="D19" s="68">
        <f>Jan!B42</f>
        <v>5</v>
      </c>
      <c r="E19" s="68">
        <f>Jan!F43</f>
        <v>200</v>
      </c>
      <c r="F19" s="68">
        <f>Jan!B35</f>
        <v>0</v>
      </c>
      <c r="H19" s="52" t="s">
        <v>49</v>
      </c>
      <c r="I19" s="105">
        <f>Jan!B13</f>
        <v>225</v>
      </c>
      <c r="J19" s="54">
        <v>0</v>
      </c>
      <c r="K19" s="52" t="s">
        <v>68</v>
      </c>
    </row>
    <row r="20" spans="1:11" x14ac:dyDescent="0.25">
      <c r="A20" s="53" t="s">
        <v>50</v>
      </c>
      <c r="B20" s="68">
        <f>Fev!F27</f>
        <v>0</v>
      </c>
      <c r="C20" s="68">
        <f>Fev!F34</f>
        <v>28.62</v>
      </c>
      <c r="D20" s="68">
        <f>Fev!B43</f>
        <v>0</v>
      </c>
      <c r="E20" s="68">
        <f>Fev!F42</f>
        <v>200</v>
      </c>
      <c r="F20" s="68">
        <f>Fev!B35</f>
        <v>56</v>
      </c>
      <c r="H20" s="53" t="s">
        <v>50</v>
      </c>
      <c r="I20" s="73">
        <f>Fev!B13</f>
        <v>984.62</v>
      </c>
      <c r="J20" s="54">
        <f>IF(Tabela103[[#This Row],[     Total Despesas]]=0,"Sem Despesa",I20/I19-1)</f>
        <v>3.3760888888888889</v>
      </c>
      <c r="K20" s="53" t="str">
        <f t="shared" ref="K20:K21" si="0">IF(I20=0,"Sem Despesa",IF(J20&lt;0,"Reduziu em relação ao mês anterior","Aumentou em relação ao mês anterior"))</f>
        <v>Aumentou em relação ao mês anterior</v>
      </c>
    </row>
    <row r="21" spans="1:11" x14ac:dyDescent="0.25">
      <c r="A21" s="53" t="s">
        <v>51</v>
      </c>
      <c r="B21" s="68">
        <f>Mar!F27</f>
        <v>500</v>
      </c>
      <c r="C21" s="68">
        <f>Jan!F36</f>
        <v>0</v>
      </c>
      <c r="D21" s="68">
        <f>Mar!B44</f>
        <v>0</v>
      </c>
      <c r="E21" s="68">
        <f>Mar!F44</f>
        <v>228</v>
      </c>
      <c r="F21" s="68">
        <f>Mar!B35</f>
        <v>30</v>
      </c>
      <c r="H21" s="53" t="s">
        <v>51</v>
      </c>
      <c r="I21" s="73">
        <f>Mar!B13</f>
        <v>778</v>
      </c>
      <c r="J21" s="54">
        <f>IF(Tabela103[[#This Row],[     Total Despesas]]=0,"Sem Despesa",I21/I20-1)</f>
        <v>-0.20984745384006009</v>
      </c>
      <c r="K21" s="53" t="str">
        <f t="shared" si="0"/>
        <v>Reduziu em relação ao mês anterior</v>
      </c>
    </row>
    <row r="22" spans="1:11" x14ac:dyDescent="0.25">
      <c r="A22" s="53" t="s">
        <v>52</v>
      </c>
      <c r="B22" s="68">
        <f>Abr!F32</f>
        <v>1351.74</v>
      </c>
      <c r="C22" s="68">
        <f>Abr!F40</f>
        <v>20</v>
      </c>
      <c r="D22" s="68">
        <f>Abr!B47</f>
        <v>0</v>
      </c>
      <c r="E22" s="68">
        <f>Abr!F56</f>
        <v>861.62</v>
      </c>
      <c r="F22" s="68">
        <f>Abr!B39</f>
        <v>0</v>
      </c>
      <c r="H22" s="53" t="s">
        <v>52</v>
      </c>
      <c r="I22" s="73">
        <f>Abr!B13</f>
        <v>2233.36</v>
      </c>
      <c r="J22" s="54">
        <f>IF(Tabela103[[#This Row],[     Total Despesas]]=0,"Sem Despesa",I22/I21-1)</f>
        <v>1.8706426735218509</v>
      </c>
      <c r="K22" s="53" t="str">
        <f>IF(I22=0,"Sem Despesa",IF(J22&lt;0,"Reduziu em relação ao mês anterior","Aumentou em relação ao mês anterior"))</f>
        <v>Aumentou em relação ao mês anterior</v>
      </c>
    </row>
    <row r="23" spans="1:11" x14ac:dyDescent="0.25">
      <c r="A23" s="53" t="s">
        <v>53</v>
      </c>
      <c r="B23" s="68">
        <f>Maio!F32</f>
        <v>1204.1000000000001</v>
      </c>
      <c r="C23" s="68">
        <f>Maio!F39</f>
        <v>0</v>
      </c>
      <c r="D23" s="68">
        <f>Maio!B47</f>
        <v>0</v>
      </c>
      <c r="E23" s="68">
        <f>Maio!F49</f>
        <v>393.25</v>
      </c>
      <c r="F23" s="68">
        <f>Maio!B38</f>
        <v>0</v>
      </c>
      <c r="H23" s="53" t="s">
        <v>53</v>
      </c>
      <c r="I23" s="73">
        <f>Maio!B13</f>
        <v>1597.3500000000001</v>
      </c>
      <c r="J23" s="54">
        <f>IF(Tabela103[[#This Row],[     Total Despesas]]=0,"Sem Despesa",I23/I22-1)</f>
        <v>-0.28477719669018875</v>
      </c>
      <c r="K23" s="53" t="str">
        <f t="shared" ref="K23:K30" si="1">IF(I23=0,"Sem Despesa",IF(J23&lt;0,"Reduziu em relação ao mês anterior","Aumentou em relação ao mês anterior"))</f>
        <v>Reduziu em relação ao mês anterior</v>
      </c>
    </row>
    <row r="24" spans="1:11" x14ac:dyDescent="0.25">
      <c r="A24" s="53" t="s">
        <v>54</v>
      </c>
      <c r="B24" s="68">
        <f>Jun!F32</f>
        <v>1372.45</v>
      </c>
      <c r="C24" s="68">
        <f>Jun!F39</f>
        <v>0</v>
      </c>
      <c r="D24" s="68">
        <f>Jun!B47</f>
        <v>0</v>
      </c>
      <c r="E24" s="68">
        <f>Jun!F53</f>
        <v>685.37</v>
      </c>
      <c r="F24" s="68">
        <f>Jul!B37</f>
        <v>0</v>
      </c>
      <c r="H24" s="53" t="s">
        <v>54</v>
      </c>
      <c r="I24" s="73">
        <f>Jun!B13</f>
        <v>2057.8200000000002</v>
      </c>
      <c r="J24" s="54">
        <f>IF(Tabela103[[#This Row],[     Total Despesas]]=0,"Sem Despesa",I24/I23-1)</f>
        <v>0.28827119917363131</v>
      </c>
      <c r="K24" s="53" t="str">
        <f t="shared" si="1"/>
        <v>Aumentou em relação ao mês anterior</v>
      </c>
    </row>
    <row r="25" spans="1:11" x14ac:dyDescent="0.25">
      <c r="A25" s="53" t="s">
        <v>55</v>
      </c>
      <c r="B25" s="68">
        <f>Jul!F32</f>
        <v>1046.1600000000001</v>
      </c>
      <c r="C25" s="68">
        <f>Jul!F39</f>
        <v>0</v>
      </c>
      <c r="D25" s="68">
        <f>Jul!B47</f>
        <v>0</v>
      </c>
      <c r="E25" s="68">
        <f>Jul!F52</f>
        <v>668.07999999999993</v>
      </c>
      <c r="F25" s="68">
        <f>Jul!B37</f>
        <v>0</v>
      </c>
      <c r="H25" s="53" t="s">
        <v>55</v>
      </c>
      <c r="I25" s="73">
        <f>Jul!B13</f>
        <v>1714.24</v>
      </c>
      <c r="J25" s="54">
        <f>IF(Tabela103[[#This Row],[     Total Despesas]]=0,"Sem Despesa",I25/I24-1)</f>
        <v>-0.16696309686950273</v>
      </c>
      <c r="K25" s="53" t="str">
        <f>IF(I25=0,"Sem Despesa",IF(J25&lt;0,"Reduziu em relação ao mês anterior","Aumentou em relação ao mês anterior"))</f>
        <v>Reduziu em relação ao mês anterior</v>
      </c>
    </row>
    <row r="26" spans="1:11" x14ac:dyDescent="0.25">
      <c r="A26" s="53" t="s">
        <v>56</v>
      </c>
      <c r="B26" s="68">
        <f>Agt!F32</f>
        <v>1148</v>
      </c>
      <c r="C26" s="68">
        <f>Agt!F39</f>
        <v>0</v>
      </c>
      <c r="D26" s="68">
        <f>Agt!B47</f>
        <v>0</v>
      </c>
      <c r="E26" s="68">
        <f>Agt!F53</f>
        <v>732.86</v>
      </c>
      <c r="F26" s="68">
        <f>Agt!B39</f>
        <v>0</v>
      </c>
      <c r="H26" s="53" t="s">
        <v>56</v>
      </c>
      <c r="I26" s="73">
        <f>Agt!B13</f>
        <v>1880.8600000000001</v>
      </c>
      <c r="J26" s="54">
        <f>IF(Tabela103[[#This Row],[     Total Despesas]]=0,"Sem Despesa",I26/I25-1)</f>
        <v>9.7197591935785033E-2</v>
      </c>
      <c r="K26" s="53" t="str">
        <f t="shared" si="1"/>
        <v>Aumentou em relação ao mês anterior</v>
      </c>
    </row>
    <row r="27" spans="1:11" x14ac:dyDescent="0.25">
      <c r="A27" s="53" t="s">
        <v>57</v>
      </c>
      <c r="B27" s="68">
        <f>Set!F32</f>
        <v>1229.3899999999999</v>
      </c>
      <c r="C27" s="68">
        <f>Set!F40</f>
        <v>45</v>
      </c>
      <c r="D27" s="68">
        <f>Set!B47</f>
        <v>0</v>
      </c>
      <c r="E27" s="68">
        <f>Set!F50</f>
        <v>397.89</v>
      </c>
      <c r="F27" s="68">
        <f>Set!B40</f>
        <v>0</v>
      </c>
      <c r="H27" s="53" t="s">
        <v>57</v>
      </c>
      <c r="I27" s="73">
        <f>Set!B13</f>
        <v>1672.2799999999997</v>
      </c>
      <c r="J27" s="54">
        <f>IF(Tabela103[[#This Row],[     Total Despesas]]=0,"Sem Despesa",I27/I26-1)</f>
        <v>-0.11089607945301638</v>
      </c>
      <c r="K27" s="53" t="str">
        <f t="shared" si="1"/>
        <v>Reduziu em relação ao mês anterior</v>
      </c>
    </row>
    <row r="28" spans="1:11" x14ac:dyDescent="0.25">
      <c r="A28" s="53" t="s">
        <v>58</v>
      </c>
      <c r="B28" s="68">
        <f>Out!F32</f>
        <v>1304</v>
      </c>
      <c r="C28" s="68">
        <f>Out!F39</f>
        <v>0</v>
      </c>
      <c r="D28" s="68">
        <f>Out!B49</f>
        <v>0</v>
      </c>
      <c r="E28" s="68">
        <f>Out!F52</f>
        <v>580.75</v>
      </c>
      <c r="F28" s="68">
        <f>Out!B39</f>
        <v>0</v>
      </c>
      <c r="H28" s="53" t="s">
        <v>58</v>
      </c>
      <c r="I28" s="73">
        <f>Out!B13</f>
        <v>1884.75</v>
      </c>
      <c r="J28" s="54">
        <f>IF(Tabela103[[#This Row],[     Total Despesas]]=0,"Sem Despesa",I28/I27-1)</f>
        <v>0.12705408185232159</v>
      </c>
      <c r="K28" s="53" t="str">
        <f t="shared" si="1"/>
        <v>Aumentou em relação ao mês anterior</v>
      </c>
    </row>
    <row r="29" spans="1:11" x14ac:dyDescent="0.25">
      <c r="A29" s="53" t="s">
        <v>59</v>
      </c>
      <c r="B29" s="68">
        <f>Nov!F31</f>
        <v>1406.8</v>
      </c>
      <c r="C29" s="68">
        <f>Nov!F38</f>
        <v>0</v>
      </c>
      <c r="D29" s="68">
        <f>Nov!B39</f>
        <v>0</v>
      </c>
      <c r="E29" s="68">
        <f>Nov!F46</f>
        <v>0</v>
      </c>
      <c r="F29" s="68">
        <f>Nov!B39</f>
        <v>0</v>
      </c>
      <c r="H29" s="53" t="s">
        <v>59</v>
      </c>
      <c r="I29" s="73">
        <f>Nov!B13</f>
        <v>1406.8</v>
      </c>
      <c r="J29" s="54">
        <f>IF(Tabela103[[#This Row],[     Total Despesas]]=0,"Sem Despesa",I29/I28-1)</f>
        <v>-0.25358800901976397</v>
      </c>
      <c r="K29" s="53" t="str">
        <f t="shared" si="1"/>
        <v>Reduziu em relação ao mês anterior</v>
      </c>
    </row>
    <row r="30" spans="1:11" x14ac:dyDescent="0.25">
      <c r="A30" s="53" t="s">
        <v>60</v>
      </c>
      <c r="B30" s="68">
        <f>Dez!F32</f>
        <v>1505</v>
      </c>
      <c r="C30" s="68">
        <f>Dez!F44</f>
        <v>0</v>
      </c>
      <c r="D30" s="68">
        <f>Dez!B58</f>
        <v>0</v>
      </c>
      <c r="E30" s="68">
        <f>Dez!F59</f>
        <v>0</v>
      </c>
      <c r="F30" s="68">
        <f>Dez!B43</f>
        <v>0</v>
      </c>
      <c r="H30" s="53" t="s">
        <v>60</v>
      </c>
      <c r="I30" s="73">
        <f>Dez!B13</f>
        <v>1505</v>
      </c>
      <c r="J30" s="54">
        <f>IF(Tabela103[[#This Row],[     Total Despesas]]=0,"Sem Despesa",I30/I29-1)</f>
        <v>6.9803810065396599E-2</v>
      </c>
      <c r="K30" s="53" t="str">
        <f t="shared" si="1"/>
        <v>Aumentou em relação ao mês anterior</v>
      </c>
    </row>
    <row r="31" spans="1:11" x14ac:dyDescent="0.25">
      <c r="A31" s="102" t="s">
        <v>16</v>
      </c>
      <c r="B31" s="102">
        <f>SUBTOTAL(109,Tabela102[Obrigatórias])</f>
        <v>12067.64</v>
      </c>
      <c r="C31" s="102">
        <f>SUBTOTAL(109,Tabela102[[Não Recorrentes ]])</f>
        <v>113.62</v>
      </c>
      <c r="D31" s="102">
        <f>SUBTOTAL(109,Tabela102[Lazer])</f>
        <v>5</v>
      </c>
      <c r="E31" s="102">
        <f>SUBTOTAL(104,Tabela102[Mercado])</f>
        <v>861.62</v>
      </c>
      <c r="F31" s="102">
        <f>SUBTOTAL(109,Tabela102[Cuidados Pessoais])</f>
        <v>86</v>
      </c>
    </row>
    <row r="38" spans="1:2" x14ac:dyDescent="0.25">
      <c r="A38" s="82" t="s">
        <v>61</v>
      </c>
      <c r="B38" s="83" t="s">
        <v>67</v>
      </c>
    </row>
    <row r="39" spans="1:2" x14ac:dyDescent="0.25">
      <c r="A39" s="89" t="s">
        <v>49</v>
      </c>
      <c r="B39" s="90">
        <f>Jan!B9</f>
        <v>1800</v>
      </c>
    </row>
    <row r="40" spans="1:2" x14ac:dyDescent="0.25">
      <c r="A40" s="91" t="s">
        <v>50</v>
      </c>
      <c r="B40" s="92">
        <f>Fev!B9</f>
        <v>2500</v>
      </c>
    </row>
    <row r="41" spans="1:2" x14ac:dyDescent="0.25">
      <c r="A41" s="93" t="s">
        <v>51</v>
      </c>
      <c r="B41" s="94">
        <f>Mar!B9</f>
        <v>1820</v>
      </c>
    </row>
    <row r="42" spans="1:2" x14ac:dyDescent="0.25">
      <c r="A42" s="91" t="s">
        <v>52</v>
      </c>
      <c r="B42" s="92">
        <f>Abr!B9</f>
        <v>1900</v>
      </c>
    </row>
    <row r="43" spans="1:2" x14ac:dyDescent="0.25">
      <c r="A43" s="93" t="s">
        <v>53</v>
      </c>
      <c r="B43" s="94">
        <f>Maio!B9</f>
        <v>1800</v>
      </c>
    </row>
    <row r="44" spans="1:2" x14ac:dyDescent="0.25">
      <c r="A44" s="91" t="s">
        <v>54</v>
      </c>
      <c r="B44" s="92">
        <f>Jun!B9</f>
        <v>1800</v>
      </c>
    </row>
    <row r="45" spans="1:2" x14ac:dyDescent="0.25">
      <c r="A45" s="93" t="s">
        <v>55</v>
      </c>
      <c r="B45" s="94">
        <f>Jul!B9</f>
        <v>1800</v>
      </c>
    </row>
    <row r="46" spans="1:2" x14ac:dyDescent="0.25">
      <c r="A46" s="91" t="s">
        <v>56</v>
      </c>
      <c r="B46" s="92">
        <f>Agt!B9</f>
        <v>2300</v>
      </c>
    </row>
    <row r="47" spans="1:2" x14ac:dyDescent="0.25">
      <c r="A47" s="93" t="s">
        <v>57</v>
      </c>
      <c r="B47" s="94">
        <f>Set!B9</f>
        <v>1800</v>
      </c>
    </row>
    <row r="48" spans="1:2" x14ac:dyDescent="0.25">
      <c r="A48" s="91" t="s">
        <v>58</v>
      </c>
      <c r="B48" s="92">
        <f>Out!B9</f>
        <v>1950</v>
      </c>
    </row>
    <row r="49" spans="1:2" x14ac:dyDescent="0.25">
      <c r="A49" s="93" t="s">
        <v>59</v>
      </c>
      <c r="B49" s="94">
        <f>Nov!B9</f>
        <v>1800</v>
      </c>
    </row>
    <row r="50" spans="1:2" x14ac:dyDescent="0.25">
      <c r="A50" s="91" t="s">
        <v>60</v>
      </c>
      <c r="B50" s="92">
        <f>Dez!B9</f>
        <v>1800</v>
      </c>
    </row>
  </sheetData>
  <phoneticPr fontId="17" type="noConversion"/>
  <conditionalFormatting sqref="J19:J30">
    <cfRule type="cellIs" dxfId="48" priority="1" operator="lessThan">
      <formula>-0.02</formula>
    </cfRule>
  </conditionalFormatting>
  <pageMargins left="0.511811024" right="0.511811024" top="0.78740157499999996" bottom="0.78740157499999996" header="0.31496062000000002" footer="0.31496062000000002"/>
  <pageSetup paperSize="9" orientation="portrait" horizontalDpi="0" verticalDpi="0" r:id="rId1"/>
  <ignoredErrors>
    <ignoredError sqref="K20:K30" calculatedColumn="1"/>
  </ignoredErrors>
  <drawing r:id="rId2"/>
  <tableParts count="3">
    <tablePart r:id="rId3"/>
    <tablePart r:id="rId4"/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2CB52C-EB69-4F3E-A1CD-F5DBEEC644E9}">
  <sheetPr codeName="Planilha5"/>
  <dimension ref="A1:XFC84"/>
  <sheetViews>
    <sheetView showGridLines="0" topLeftCell="A15" zoomScale="82" zoomScaleNormal="82" workbookViewId="0">
      <selection activeCell="E26" sqref="E26"/>
    </sheetView>
  </sheetViews>
  <sheetFormatPr defaultColWidth="0" defaultRowHeight="15" x14ac:dyDescent="0.25"/>
  <cols>
    <col min="1" max="1" width="22.42578125" customWidth="1"/>
    <col min="2" max="2" width="16.7109375" customWidth="1"/>
    <col min="3" max="3" width="14.85546875" customWidth="1"/>
    <col min="4" max="4" width="18.140625" customWidth="1"/>
    <col min="5" max="5" width="29.7109375" customWidth="1"/>
    <col min="6" max="6" width="17.140625" customWidth="1"/>
    <col min="7" max="7" width="26" customWidth="1"/>
    <col min="8" max="8" width="25" bestFit="1" customWidth="1"/>
    <col min="9" max="9" width="26.5703125" bestFit="1" customWidth="1"/>
    <col min="10" max="10" width="13" customWidth="1"/>
    <col min="11" max="11" width="12" customWidth="1"/>
    <col min="12" max="12" width="19.5703125" hidden="1" customWidth="1"/>
    <col min="13" max="13" width="16" hidden="1" customWidth="1"/>
    <col min="14" max="14" width="17.85546875" customWidth="1"/>
    <col min="16382" max="16382" width="1.7109375" hidden="1"/>
    <col min="16383" max="16383" width="7.28515625" hidden="1"/>
  </cols>
  <sheetData>
    <row r="1" spans="1:14" s="1" customFormat="1" ht="34.5" customHeight="1" x14ac:dyDescent="0.25">
      <c r="A1" s="12" t="s">
        <v>93</v>
      </c>
      <c r="B1" s="12"/>
      <c r="C1" s="12"/>
      <c r="D1" s="12"/>
      <c r="E1" s="12"/>
      <c r="F1" s="12"/>
      <c r="G1" s="12"/>
      <c r="H1" s="12"/>
      <c r="I1" s="12"/>
      <c r="J1" s="12"/>
      <c r="K1" s="12"/>
      <c r="L1" s="12"/>
      <c r="M1" s="12"/>
      <c r="N1" s="12"/>
    </row>
    <row r="2" spans="1:14" s="1" customFormat="1" ht="18" customHeight="1" x14ac:dyDescent="0.25">
      <c r="A2" s="12"/>
      <c r="B2" s="12"/>
      <c r="C2" s="12"/>
      <c r="D2" s="12"/>
      <c r="E2" s="12"/>
      <c r="F2" s="12"/>
      <c r="G2" s="12"/>
      <c r="H2" s="12"/>
      <c r="I2" s="12"/>
      <c r="J2" s="12"/>
      <c r="K2" s="12"/>
      <c r="L2" s="12"/>
      <c r="M2" s="12"/>
      <c r="N2" s="12"/>
    </row>
    <row r="3" spans="1:14" ht="21.75" customHeight="1" x14ac:dyDescent="0.25">
      <c r="C3" s="3"/>
    </row>
    <row r="4" spans="1:14" ht="21.75" customHeight="1" x14ac:dyDescent="0.3">
      <c r="A4" s="33" t="s">
        <v>45</v>
      </c>
      <c r="B4" s="37" t="s">
        <v>28</v>
      </c>
      <c r="C4" s="3"/>
    </row>
    <row r="5" spans="1:14" ht="15" customHeight="1" x14ac:dyDescent="0.25">
      <c r="A5" t="s">
        <v>25</v>
      </c>
      <c r="B5" s="6">
        <f>1800</f>
        <v>1800</v>
      </c>
      <c r="C5" s="3"/>
    </row>
    <row r="6" spans="1:14" ht="15" customHeight="1" x14ac:dyDescent="0.25">
      <c r="A6" t="s">
        <v>26</v>
      </c>
      <c r="B6" s="6"/>
      <c r="C6" s="3"/>
    </row>
    <row r="7" spans="1:14" ht="15" customHeight="1" x14ac:dyDescent="0.25">
      <c r="A7" t="s">
        <v>27</v>
      </c>
      <c r="B7" s="40">
        <f>B27</f>
        <v>0</v>
      </c>
      <c r="C7" s="3"/>
    </row>
    <row r="8" spans="1:14" ht="15" customHeight="1" x14ac:dyDescent="0.25">
      <c r="A8" t="s">
        <v>29</v>
      </c>
      <c r="B8" s="6"/>
      <c r="C8" s="3"/>
    </row>
    <row r="9" spans="1:14" ht="15" customHeight="1" x14ac:dyDescent="0.25">
      <c r="A9" s="24" t="s">
        <v>32</v>
      </c>
      <c r="B9" s="25">
        <f>SUM(B5:B8)</f>
        <v>1800</v>
      </c>
      <c r="C9" s="3"/>
    </row>
    <row r="10" spans="1:14" ht="15" customHeight="1" x14ac:dyDescent="0.25">
      <c r="C10" s="3"/>
    </row>
    <row r="11" spans="1:14" ht="17.25" customHeight="1" x14ac:dyDescent="0.3">
      <c r="A11" s="34" t="s">
        <v>46</v>
      </c>
      <c r="B11" s="38" t="s">
        <v>30</v>
      </c>
      <c r="C11" s="28"/>
    </row>
    <row r="12" spans="1:14" ht="15" customHeight="1" x14ac:dyDescent="0.25">
      <c r="A12" s="6" t="s">
        <v>34</v>
      </c>
      <c r="B12" s="13">
        <f>B5+B7</f>
        <v>1800</v>
      </c>
      <c r="C12" s="4"/>
    </row>
    <row r="13" spans="1:14" ht="15" customHeight="1" x14ac:dyDescent="0.25">
      <c r="A13" s="26" t="s">
        <v>31</v>
      </c>
      <c r="B13" s="113">
        <f>F27+F35+F43+B35+B42+B27</f>
        <v>225</v>
      </c>
      <c r="C13" s="4"/>
    </row>
    <row r="14" spans="1:14" ht="15" customHeight="1" x14ac:dyDescent="0.25">
      <c r="A14" s="25" t="s">
        <v>39</v>
      </c>
      <c r="B14" s="48">
        <f>B12-B13</f>
        <v>1575</v>
      </c>
      <c r="C14" s="4"/>
    </row>
    <row r="15" spans="1:14" ht="15.75" thickBot="1" x14ac:dyDescent="0.3">
      <c r="C15" s="4"/>
    </row>
    <row r="16" spans="1:14" ht="15.75" x14ac:dyDescent="0.25">
      <c r="A16" s="31" t="s">
        <v>47</v>
      </c>
      <c r="B16" s="32"/>
      <c r="C16" s="29"/>
    </row>
    <row r="17" spans="1:10" ht="15.75" thickBot="1" x14ac:dyDescent="0.3">
      <c r="A17" s="117">
        <f>IF(B13&lt;B12,((B13*100/B12)/100),"Mais de 100% do ganho mensal")</f>
        <v>0.125</v>
      </c>
      <c r="B17" s="118"/>
      <c r="C17" s="3"/>
    </row>
    <row r="18" spans="1:10" x14ac:dyDescent="0.25">
      <c r="C18" s="30"/>
    </row>
    <row r="19" spans="1:10" x14ac:dyDescent="0.25">
      <c r="C19" s="30"/>
    </row>
    <row r="20" spans="1:10" x14ac:dyDescent="0.25">
      <c r="A20" t="s">
        <v>91</v>
      </c>
      <c r="C20" s="30"/>
    </row>
    <row r="21" spans="1:10" x14ac:dyDescent="0.25">
      <c r="A21" t="s">
        <v>92</v>
      </c>
      <c r="C21" s="30"/>
    </row>
    <row r="22" spans="1:10" x14ac:dyDescent="0.25">
      <c r="C22" s="30"/>
    </row>
    <row r="23" spans="1:10" x14ac:dyDescent="0.25">
      <c r="B23" t="s">
        <v>102</v>
      </c>
      <c r="C23" s="30"/>
      <c r="F23" t="s">
        <v>100</v>
      </c>
      <c r="G23" s="7" t="s">
        <v>72</v>
      </c>
    </row>
    <row r="24" spans="1:10" x14ac:dyDescent="0.25">
      <c r="C24" s="45"/>
    </row>
    <row r="25" spans="1:10" ht="15.75" x14ac:dyDescent="0.25">
      <c r="A25" s="56" t="s">
        <v>27</v>
      </c>
      <c r="B25" s="56" t="s">
        <v>2</v>
      </c>
      <c r="C25" s="56" t="s">
        <v>13</v>
      </c>
      <c r="E25" s="9" t="s">
        <v>12</v>
      </c>
      <c r="F25" s="9" t="s">
        <v>2</v>
      </c>
      <c r="G25" s="9" t="s">
        <v>0</v>
      </c>
      <c r="H25" s="9" t="s">
        <v>1</v>
      </c>
      <c r="I25" s="9" t="s">
        <v>10</v>
      </c>
      <c r="J25" s="9" t="s">
        <v>3</v>
      </c>
    </row>
    <row r="26" spans="1:10" x14ac:dyDescent="0.25">
      <c r="A26" s="79" t="s">
        <v>44</v>
      </c>
      <c r="B26" s="68">
        <v>0</v>
      </c>
      <c r="C26" s="66">
        <v>44211</v>
      </c>
      <c r="E26" s="53" t="s">
        <v>8</v>
      </c>
      <c r="F26" s="68">
        <v>0</v>
      </c>
      <c r="G26" s="66"/>
      <c r="H26" s="66"/>
      <c r="I26" s="53" t="str">
        <f t="shared" ref="I26" si="0">IF(H26="","Sem data",IF(H26-G26&lt;0,"Pago antes do vencimento",H26-G26))</f>
        <v>Sem data</v>
      </c>
      <c r="J26" s="64" t="str">
        <f>IF(I26:I26="Sem data","Pagar","Pago")</f>
        <v>Pagar</v>
      </c>
    </row>
    <row r="27" spans="1:10" x14ac:dyDescent="0.25">
      <c r="A27" s="112" t="s">
        <v>32</v>
      </c>
      <c r="B27" s="87">
        <f>SUM(Tabela746[Valor])</f>
        <v>0</v>
      </c>
      <c r="C27" s="24"/>
      <c r="E27" s="112" t="s">
        <v>32</v>
      </c>
      <c r="F27" s="88">
        <f>SUM(Tabela32[Valor])</f>
        <v>0</v>
      </c>
    </row>
    <row r="28" spans="1:10" x14ac:dyDescent="0.25">
      <c r="A28" s="44"/>
      <c r="B28" s="41"/>
      <c r="E28" s="112" t="s">
        <v>36</v>
      </c>
      <c r="F28" s="88">
        <f>AVERAGE(Tabela32[Valor])</f>
        <v>0</v>
      </c>
    </row>
    <row r="30" spans="1:10" ht="15.75" x14ac:dyDescent="0.25">
      <c r="G30" s="46"/>
    </row>
    <row r="31" spans="1:10" x14ac:dyDescent="0.25">
      <c r="B31" s="41" t="s">
        <v>99</v>
      </c>
      <c r="E31" s="3"/>
      <c r="F31" t="s">
        <v>101</v>
      </c>
      <c r="G31" s="3"/>
      <c r="H31" s="3"/>
      <c r="I31" s="3"/>
      <c r="J31" s="3"/>
    </row>
    <row r="32" spans="1:10" x14ac:dyDescent="0.25">
      <c r="A32" s="3"/>
      <c r="C32" s="3"/>
    </row>
    <row r="33" spans="1:10" ht="15.75" x14ac:dyDescent="0.25">
      <c r="A33" s="64" t="s">
        <v>42</v>
      </c>
      <c r="B33" s="64" t="s">
        <v>2</v>
      </c>
      <c r="C33" s="64" t="s">
        <v>13</v>
      </c>
      <c r="E33" s="36" t="s">
        <v>40</v>
      </c>
      <c r="F33" s="56" t="s">
        <v>2</v>
      </c>
      <c r="G33" s="56" t="s">
        <v>1</v>
      </c>
      <c r="H33" s="56" t="s">
        <v>11</v>
      </c>
      <c r="I33" s="56" t="s">
        <v>22</v>
      </c>
      <c r="J33" s="56" t="s">
        <v>3</v>
      </c>
    </row>
    <row r="34" spans="1:10" x14ac:dyDescent="0.25">
      <c r="A34" s="79" t="s">
        <v>41</v>
      </c>
      <c r="B34" s="73">
        <v>0</v>
      </c>
      <c r="C34" s="66"/>
      <c r="E34" s="53" t="s">
        <v>98</v>
      </c>
      <c r="F34" s="68">
        <v>20</v>
      </c>
      <c r="G34" s="66"/>
      <c r="H34" s="53"/>
      <c r="I34" s="53"/>
      <c r="J34" s="53"/>
    </row>
    <row r="35" spans="1:10" x14ac:dyDescent="0.25">
      <c r="A35" s="112" t="s">
        <v>32</v>
      </c>
      <c r="B35" s="88">
        <f>SUM(Tabela7[Valor])</f>
        <v>0</v>
      </c>
      <c r="E35" s="112" t="s">
        <v>32</v>
      </c>
      <c r="F35" s="88">
        <f>SUM(Tabela4[Valor])</f>
        <v>20</v>
      </c>
    </row>
    <row r="36" spans="1:10" s="3" customFormat="1" x14ac:dyDescent="0.25">
      <c r="E36" s="44"/>
      <c r="F36" s="41"/>
      <c r="G36"/>
      <c r="H36"/>
      <c r="I36"/>
      <c r="J36"/>
    </row>
    <row r="37" spans="1:10" s="3" customFormat="1" x14ac:dyDescent="0.25">
      <c r="E37" s="44"/>
      <c r="F37" s="41"/>
      <c r="G37"/>
      <c r="H37"/>
      <c r="I37"/>
      <c r="J37"/>
    </row>
    <row r="38" spans="1:10" s="3" customFormat="1" x14ac:dyDescent="0.25">
      <c r="A38"/>
      <c r="B38" t="s">
        <v>94</v>
      </c>
      <c r="C38"/>
      <c r="E38" s="44"/>
      <c r="F38" s="41"/>
      <c r="G38"/>
      <c r="H38"/>
      <c r="I38"/>
      <c r="J38"/>
    </row>
    <row r="39" spans="1:10" x14ac:dyDescent="0.25">
      <c r="A39" s="44"/>
      <c r="B39" s="111"/>
      <c r="F39" t="s">
        <v>99</v>
      </c>
    </row>
    <row r="40" spans="1:10" x14ac:dyDescent="0.25">
      <c r="A40" s="64" t="s">
        <v>43</v>
      </c>
      <c r="B40" s="64" t="s">
        <v>2</v>
      </c>
      <c r="C40" s="64" t="s">
        <v>13</v>
      </c>
    </row>
    <row r="41" spans="1:10" ht="15.75" x14ac:dyDescent="0.25">
      <c r="A41" s="79" t="s">
        <v>48</v>
      </c>
      <c r="B41" s="73">
        <v>5</v>
      </c>
      <c r="C41" s="66"/>
      <c r="E41" s="56" t="s">
        <v>7</v>
      </c>
      <c r="F41" s="56" t="s">
        <v>2</v>
      </c>
      <c r="G41" s="56" t="s">
        <v>14</v>
      </c>
      <c r="H41" s="56" t="s">
        <v>13</v>
      </c>
    </row>
    <row r="42" spans="1:10" x14ac:dyDescent="0.25">
      <c r="A42" s="112" t="s">
        <v>32</v>
      </c>
      <c r="B42" s="87">
        <f>SUM(B41:B41)</f>
        <v>5</v>
      </c>
      <c r="E42" s="53" t="s">
        <v>19</v>
      </c>
      <c r="F42" s="68">
        <v>200</v>
      </c>
      <c r="G42" s="53"/>
      <c r="H42" s="66"/>
    </row>
    <row r="43" spans="1:10" x14ac:dyDescent="0.25">
      <c r="E43" s="112" t="s">
        <v>32</v>
      </c>
      <c r="F43" s="88">
        <f>SUM(Tabela6[Valor])</f>
        <v>200</v>
      </c>
    </row>
    <row r="44" spans="1:10" x14ac:dyDescent="0.25">
      <c r="E44" s="112" t="s">
        <v>38</v>
      </c>
      <c r="F44" s="88">
        <f>AVERAGE(Tabela6[Valor])</f>
        <v>200</v>
      </c>
    </row>
    <row r="48" spans="1:10" x14ac:dyDescent="0.25">
      <c r="I48" s="14"/>
      <c r="J48" s="14"/>
    </row>
    <row r="49" spans="1:14" ht="15.75" customHeight="1" x14ac:dyDescent="0.3">
      <c r="A49" s="44"/>
      <c r="B49" s="109"/>
      <c r="I49" s="17"/>
      <c r="J49" s="14"/>
    </row>
    <row r="50" spans="1:14" x14ac:dyDescent="0.25">
      <c r="H50" s="14"/>
      <c r="I50" s="5"/>
      <c r="J50" s="5"/>
    </row>
    <row r="51" spans="1:14" x14ac:dyDescent="0.25">
      <c r="H51" s="14"/>
      <c r="I51" s="14"/>
      <c r="J51" s="14"/>
    </row>
    <row r="52" spans="1:14" x14ac:dyDescent="0.25">
      <c r="B52" s="14"/>
      <c r="C52" s="14"/>
      <c r="H52" s="14"/>
      <c r="I52" s="14"/>
      <c r="J52" s="14"/>
    </row>
    <row r="53" spans="1:14" x14ac:dyDescent="0.25">
      <c r="B53" s="14"/>
      <c r="C53" s="14"/>
      <c r="H53" s="39"/>
      <c r="I53" s="14"/>
      <c r="J53" s="14"/>
    </row>
    <row r="54" spans="1:14" x14ac:dyDescent="0.25">
      <c r="B54" s="14"/>
      <c r="C54" s="14"/>
      <c r="H54" s="14"/>
      <c r="I54" s="14"/>
      <c r="J54" s="14"/>
    </row>
    <row r="55" spans="1:14" x14ac:dyDescent="0.25">
      <c r="B55" s="14"/>
      <c r="C55" s="14"/>
      <c r="H55" s="14"/>
      <c r="I55" s="14"/>
      <c r="J55" s="14"/>
    </row>
    <row r="56" spans="1:14" x14ac:dyDescent="0.25">
      <c r="B56" s="14"/>
      <c r="C56" s="14"/>
      <c r="H56" s="14"/>
      <c r="I56" s="14"/>
      <c r="J56" s="14"/>
    </row>
    <row r="57" spans="1:14" x14ac:dyDescent="0.25">
      <c r="B57" s="14"/>
      <c r="C57" s="14"/>
      <c r="H57" s="14"/>
      <c r="I57" s="14"/>
      <c r="J57" s="14"/>
    </row>
    <row r="58" spans="1:14" ht="15" customHeight="1" x14ac:dyDescent="0.25">
      <c r="B58" s="14"/>
      <c r="C58" s="14"/>
      <c r="H58" s="14"/>
      <c r="I58" s="39"/>
      <c r="J58" s="39"/>
    </row>
    <row r="59" spans="1:14" ht="15" customHeight="1" x14ac:dyDescent="0.25">
      <c r="B59" s="14"/>
      <c r="C59" s="14"/>
      <c r="H59" s="14"/>
      <c r="I59" s="14"/>
      <c r="J59" s="14"/>
    </row>
    <row r="60" spans="1:14" ht="15" customHeight="1" x14ac:dyDescent="0.25">
      <c r="B60" s="14"/>
      <c r="C60" s="14"/>
      <c r="D60" s="14"/>
      <c r="H60" s="14"/>
      <c r="I60" s="14"/>
      <c r="J60" s="14"/>
      <c r="K60" s="14"/>
      <c r="L60" s="14"/>
      <c r="M60" s="14"/>
      <c r="N60" s="14"/>
    </row>
    <row r="61" spans="1:14" ht="13.5" customHeight="1" x14ac:dyDescent="0.25">
      <c r="B61" s="14"/>
      <c r="C61" s="14"/>
      <c r="D61" s="14"/>
      <c r="H61" s="14"/>
      <c r="I61" s="14"/>
      <c r="J61" s="14"/>
      <c r="K61" s="14"/>
      <c r="L61" s="14"/>
      <c r="M61" s="14"/>
      <c r="N61" s="14"/>
    </row>
    <row r="62" spans="1:14" ht="16.5" customHeight="1" x14ac:dyDescent="0.25">
      <c r="B62" s="14"/>
      <c r="C62" s="14"/>
      <c r="D62" s="14"/>
      <c r="H62" s="14"/>
      <c r="I62" s="14"/>
      <c r="J62" s="14"/>
      <c r="K62" s="14"/>
      <c r="L62" s="14"/>
      <c r="M62" s="14"/>
      <c r="N62" s="14"/>
    </row>
    <row r="63" spans="1:14" ht="15" customHeight="1" x14ac:dyDescent="0.25">
      <c r="B63" s="14"/>
      <c r="C63" s="14"/>
      <c r="D63" s="14"/>
      <c r="H63" s="14"/>
      <c r="I63" s="14"/>
      <c r="J63" s="14"/>
      <c r="K63" s="14"/>
      <c r="L63" s="14"/>
      <c r="M63" s="14"/>
      <c r="N63" s="14"/>
    </row>
    <row r="64" spans="1:14" ht="15" customHeight="1" x14ac:dyDescent="0.25">
      <c r="D64" s="14"/>
      <c r="H64" s="14"/>
      <c r="I64" s="14"/>
      <c r="J64" s="14"/>
      <c r="K64" s="14"/>
      <c r="L64" s="14"/>
      <c r="M64" s="14"/>
      <c r="N64" s="14"/>
    </row>
    <row r="65" spans="4:14" ht="16.5" customHeight="1" x14ac:dyDescent="0.25">
      <c r="D65" s="14"/>
      <c r="E65" s="14"/>
      <c r="F65" s="14"/>
      <c r="G65" s="14"/>
      <c r="H65" s="14"/>
      <c r="I65" s="14"/>
      <c r="J65" s="14"/>
      <c r="K65" s="14"/>
      <c r="L65" s="14"/>
      <c r="M65" s="14"/>
      <c r="N65" s="14"/>
    </row>
    <row r="66" spans="4:14" ht="18" customHeight="1" x14ac:dyDescent="0.25">
      <c r="D66" s="14"/>
      <c r="E66" s="14"/>
      <c r="F66" s="14"/>
      <c r="G66" s="14"/>
      <c r="H66" s="14"/>
      <c r="I66" s="14"/>
      <c r="J66" s="14"/>
      <c r="K66" s="14"/>
      <c r="L66" s="14"/>
      <c r="M66" s="14"/>
      <c r="N66" s="14"/>
    </row>
    <row r="67" spans="4:14" ht="15.75" customHeight="1" x14ac:dyDescent="0.25">
      <c r="D67" s="14"/>
      <c r="E67" s="14"/>
      <c r="F67" s="14"/>
      <c r="G67" s="14"/>
      <c r="H67" s="14"/>
      <c r="I67" s="14"/>
      <c r="J67" s="14"/>
      <c r="K67" s="14"/>
      <c r="L67" s="14"/>
      <c r="M67" s="14"/>
      <c r="N67" s="14"/>
    </row>
    <row r="68" spans="4:14" ht="15" customHeight="1" x14ac:dyDescent="0.25">
      <c r="D68" s="14"/>
      <c r="I68" s="14"/>
      <c r="J68" s="14"/>
      <c r="K68" s="14"/>
      <c r="L68" s="14"/>
      <c r="M68" s="14"/>
      <c r="N68" s="14"/>
    </row>
    <row r="69" spans="4:14" ht="15" customHeight="1" x14ac:dyDescent="0.25">
      <c r="D69" s="14"/>
      <c r="I69" s="14"/>
      <c r="J69" s="14"/>
      <c r="K69" s="14"/>
      <c r="L69" s="14"/>
      <c r="M69" s="14"/>
      <c r="N69" s="14"/>
    </row>
    <row r="70" spans="4:14" ht="15" customHeight="1" x14ac:dyDescent="0.25">
      <c r="D70" s="18"/>
      <c r="I70" s="14"/>
      <c r="J70" s="14"/>
      <c r="K70" s="14"/>
      <c r="L70" s="116"/>
      <c r="M70" s="116"/>
      <c r="N70" s="116"/>
    </row>
    <row r="71" spans="4:14" ht="15" customHeight="1" x14ac:dyDescent="0.25">
      <c r="D71" s="14"/>
      <c r="I71" s="14"/>
      <c r="J71" s="14"/>
      <c r="K71" s="14"/>
      <c r="L71" s="14"/>
      <c r="M71" s="14"/>
      <c r="N71" s="14"/>
    </row>
    <row r="72" spans="4:14" ht="15" customHeight="1" x14ac:dyDescent="0.25">
      <c r="D72" s="14"/>
      <c r="I72" s="14"/>
      <c r="J72" s="14"/>
      <c r="K72" s="14"/>
      <c r="L72" s="14"/>
      <c r="M72" s="14"/>
      <c r="N72" s="14"/>
    </row>
    <row r="73" spans="4:14" ht="15" customHeight="1" x14ac:dyDescent="0.25">
      <c r="D73" s="14"/>
      <c r="K73" s="14"/>
      <c r="L73" s="14"/>
      <c r="M73" s="14"/>
      <c r="N73" s="14"/>
    </row>
    <row r="74" spans="4:14" ht="15" customHeight="1" x14ac:dyDescent="0.25">
      <c r="D74" s="14"/>
      <c r="K74" s="14"/>
      <c r="L74" s="14"/>
      <c r="M74" s="14"/>
      <c r="N74" s="14"/>
    </row>
    <row r="75" spans="4:14" ht="15" customHeight="1" x14ac:dyDescent="0.25">
      <c r="D75" s="14"/>
      <c r="K75" s="14"/>
      <c r="L75" s="14"/>
      <c r="M75" s="14"/>
      <c r="N75" s="14"/>
    </row>
    <row r="76" spans="4:14" ht="15" customHeight="1" x14ac:dyDescent="0.25">
      <c r="D76" s="14"/>
      <c r="K76" s="14"/>
      <c r="L76" s="14"/>
      <c r="M76" s="14"/>
      <c r="N76" s="14"/>
    </row>
    <row r="77" spans="4:14" ht="15" customHeight="1" x14ac:dyDescent="0.25">
      <c r="D77" s="14"/>
      <c r="K77" s="14"/>
      <c r="L77" s="14"/>
      <c r="M77" s="14"/>
      <c r="N77" s="14"/>
    </row>
    <row r="78" spans="4:14" ht="15" customHeight="1" x14ac:dyDescent="0.25">
      <c r="D78" s="14"/>
      <c r="K78" s="14"/>
      <c r="L78" s="14"/>
      <c r="M78" s="14"/>
      <c r="N78" s="14"/>
    </row>
    <row r="79" spans="4:14" ht="15" customHeight="1" x14ac:dyDescent="0.25">
      <c r="D79" s="14"/>
      <c r="K79" s="14"/>
      <c r="L79" s="14"/>
      <c r="M79" s="14"/>
      <c r="N79" s="14"/>
    </row>
    <row r="80" spans="4:14" ht="15" customHeight="1" x14ac:dyDescent="0.25">
      <c r="D80" s="14"/>
      <c r="K80" s="14"/>
      <c r="L80" s="14"/>
      <c r="M80" s="14"/>
      <c r="N80" s="14"/>
    </row>
    <row r="81" spans="4:14" ht="15" customHeight="1" x14ac:dyDescent="0.25">
      <c r="D81" s="14"/>
      <c r="K81" s="14"/>
      <c r="L81" s="14"/>
      <c r="M81" s="14"/>
      <c r="N81" s="14"/>
    </row>
    <row r="82" spans="4:14" x14ac:dyDescent="0.25">
      <c r="D82" s="14"/>
      <c r="K82" s="14"/>
      <c r="L82" s="14"/>
      <c r="M82" s="14"/>
      <c r="N82" s="14"/>
    </row>
    <row r="83" spans="4:14" x14ac:dyDescent="0.25">
      <c r="D83" s="14"/>
      <c r="K83" s="14"/>
      <c r="L83" s="14"/>
      <c r="M83" s="14"/>
      <c r="N83" s="14"/>
    </row>
    <row r="84" spans="4:14" x14ac:dyDescent="0.25">
      <c r="D84" s="14"/>
      <c r="K84" s="14"/>
      <c r="L84" s="14"/>
      <c r="M84" s="14"/>
      <c r="N84" s="14"/>
    </row>
  </sheetData>
  <mergeCells count="2">
    <mergeCell ref="L70:N70"/>
    <mergeCell ref="A17:B17"/>
  </mergeCells>
  <conditionalFormatting sqref="A17">
    <cfRule type="dataBar" priority="9">
      <dataBar>
        <cfvo type="num" val="0"/>
        <cfvo type="num" val="1"/>
        <color theme="4" tint="0.39997558519241921"/>
      </dataBar>
      <extLst>
        <ext xmlns:x14="http://schemas.microsoft.com/office/spreadsheetml/2009/9/main" uri="{B025F937-C7B1-47D3-B67F-A62EFF666E3E}">
          <x14:id>{6C1501CF-DE71-49D6-A663-9DB8CE9D4BFA}</x14:id>
        </ext>
      </extLst>
    </cfRule>
  </conditionalFormatting>
  <conditionalFormatting sqref="A17:B17">
    <cfRule type="containsText" dxfId="47" priority="10" operator="containsText" text="Mais de 100%">
      <formula>NOT(ISERROR(SEARCH("Mais de 100%",A17)))</formula>
    </cfRule>
  </conditionalFormatting>
  <conditionalFormatting sqref="J26">
    <cfRule type="containsText" dxfId="46" priority="2" operator="containsText" text="Pagar">
      <formula>NOT(ISERROR(SEARCH("Pagar",J26)))</formula>
    </cfRule>
  </conditionalFormatting>
  <conditionalFormatting sqref="B14">
    <cfRule type="cellIs" dxfId="45" priority="1" operator="lessThan">
      <formula>0</formula>
    </cfRule>
  </conditionalFormatting>
  <pageMargins left="0.511811024" right="0.511811024" top="0.78740157499999996" bottom="0.78740157499999996" header="0.31496062000000002" footer="0.31496062000000002"/>
  <pageSetup paperSize="9" orientation="portrait" horizontalDpi="0" verticalDpi="0" r:id="rId1"/>
  <drawing r:id="rId2"/>
  <legacyDrawing r:id="rId3"/>
  <tableParts count="8">
    <tablePart r:id="rId4"/>
    <tablePart r:id="rId5"/>
    <tablePart r:id="rId6"/>
    <tablePart r:id="rId7"/>
    <tablePart r:id="rId8"/>
    <tablePart r:id="rId9"/>
    <tablePart r:id="rId10"/>
    <tablePart r:id="rId11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C1501CF-DE71-49D6-A663-9DB8CE9D4BFA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A17</xm:sqref>
        </x14:conditionalFormatting>
        <x14:conditionalFormatting xmlns:xm="http://schemas.microsoft.com/office/excel/2006/main">
          <x14:cfRule type="containsText" priority="5" operator="containsText" id="{2BFC7757-77F6-42F7-BE99-8E9662C535C7}">
            <xm:f>NOT(ISERROR(SEARCH(Pagar,J34)))</xm:f>
            <xm:f>Pagar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J34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E6BAB2-7C94-422C-BF77-719AF5CAC2E6}">
  <sheetPr codeName="Planilha6"/>
  <dimension ref="A1:XFC84"/>
  <sheetViews>
    <sheetView showGridLines="0" topLeftCell="A28" zoomScale="82" zoomScaleNormal="82" workbookViewId="0">
      <selection activeCell="G23" sqref="G23"/>
    </sheetView>
  </sheetViews>
  <sheetFormatPr defaultColWidth="0" defaultRowHeight="15" x14ac:dyDescent="0.25"/>
  <cols>
    <col min="1" max="1" width="22.42578125" customWidth="1"/>
    <col min="2" max="2" width="16.7109375" customWidth="1"/>
    <col min="3" max="3" width="14.85546875" customWidth="1"/>
    <col min="4" max="4" width="18.140625" customWidth="1"/>
    <col min="5" max="5" width="29.7109375" customWidth="1"/>
    <col min="6" max="6" width="17.140625" customWidth="1"/>
    <col min="7" max="7" width="26" customWidth="1"/>
    <col min="8" max="8" width="25" bestFit="1" customWidth="1"/>
    <col min="9" max="9" width="26.5703125" bestFit="1" customWidth="1"/>
    <col min="10" max="10" width="13" customWidth="1"/>
    <col min="11" max="11" width="12" customWidth="1"/>
    <col min="12" max="12" width="19.5703125" hidden="1" customWidth="1"/>
    <col min="13" max="13" width="16" hidden="1" customWidth="1"/>
    <col min="14" max="14" width="17.85546875" customWidth="1"/>
    <col min="16382" max="16382" width="1.7109375" hidden="1"/>
    <col min="16383" max="16383" width="7.28515625" hidden="1"/>
  </cols>
  <sheetData>
    <row r="1" spans="1:14" s="1" customFormat="1" ht="34.5" customHeight="1" x14ac:dyDescent="0.25">
      <c r="A1" s="12" t="s">
        <v>24</v>
      </c>
      <c r="B1" s="12"/>
      <c r="C1" s="12"/>
      <c r="D1" s="12"/>
      <c r="E1" s="12"/>
      <c r="F1" s="12"/>
      <c r="G1" s="12"/>
      <c r="H1" s="12"/>
      <c r="I1" s="12"/>
      <c r="J1" s="12"/>
      <c r="K1" s="12"/>
      <c r="L1" s="12"/>
      <c r="M1" s="12"/>
      <c r="N1" s="12"/>
    </row>
    <row r="2" spans="1:14" s="1" customFormat="1" ht="18" customHeight="1" x14ac:dyDescent="0.25">
      <c r="A2" s="12"/>
      <c r="B2" s="12"/>
      <c r="C2" s="12"/>
      <c r="D2" s="12"/>
      <c r="E2" s="12"/>
      <c r="F2" s="12"/>
      <c r="G2" s="12"/>
      <c r="H2" s="12"/>
      <c r="I2" s="12"/>
      <c r="J2" s="12"/>
      <c r="K2" s="12"/>
      <c r="L2" s="12"/>
      <c r="M2" s="12"/>
      <c r="N2" s="12"/>
    </row>
    <row r="3" spans="1:14" ht="21.75" customHeight="1" x14ac:dyDescent="0.25">
      <c r="C3" s="3"/>
    </row>
    <row r="4" spans="1:14" ht="21.75" customHeight="1" x14ac:dyDescent="0.3">
      <c r="A4" s="33" t="s">
        <v>45</v>
      </c>
      <c r="B4" s="37" t="s">
        <v>28</v>
      </c>
      <c r="C4" s="3"/>
    </row>
    <row r="5" spans="1:14" ht="15" customHeight="1" x14ac:dyDescent="0.25">
      <c r="A5" t="s">
        <v>25</v>
      </c>
      <c r="B5" s="6">
        <f>1800</f>
        <v>1800</v>
      </c>
      <c r="C5" s="3"/>
    </row>
    <row r="6" spans="1:14" ht="15" customHeight="1" x14ac:dyDescent="0.25">
      <c r="A6" t="s">
        <v>26</v>
      </c>
      <c r="B6" s="6"/>
      <c r="C6" s="3"/>
    </row>
    <row r="7" spans="1:14" ht="15" customHeight="1" x14ac:dyDescent="0.25">
      <c r="A7" t="s">
        <v>27</v>
      </c>
      <c r="B7" s="40">
        <f>B27</f>
        <v>700</v>
      </c>
      <c r="C7" s="3"/>
    </row>
    <row r="8" spans="1:14" ht="15" customHeight="1" x14ac:dyDescent="0.25">
      <c r="A8" t="s">
        <v>29</v>
      </c>
      <c r="B8" s="6"/>
      <c r="C8" s="3"/>
    </row>
    <row r="9" spans="1:14" ht="15" customHeight="1" x14ac:dyDescent="0.25">
      <c r="A9" s="24" t="s">
        <v>32</v>
      </c>
      <c r="B9" s="25">
        <f>SUM(B5:B8)</f>
        <v>2500</v>
      </c>
      <c r="C9" s="3"/>
    </row>
    <row r="10" spans="1:14" ht="15" customHeight="1" x14ac:dyDescent="0.25">
      <c r="C10" s="3"/>
    </row>
    <row r="11" spans="1:14" ht="17.25" customHeight="1" x14ac:dyDescent="0.3">
      <c r="A11" s="34" t="s">
        <v>46</v>
      </c>
      <c r="B11" s="38" t="s">
        <v>30</v>
      </c>
      <c r="C11" s="28"/>
    </row>
    <row r="12" spans="1:14" ht="15" customHeight="1" x14ac:dyDescent="0.25">
      <c r="A12" s="6" t="s">
        <v>34</v>
      </c>
      <c r="B12" s="114">
        <f>B5+B7</f>
        <v>2500</v>
      </c>
      <c r="C12" s="4"/>
    </row>
    <row r="13" spans="1:14" ht="15" customHeight="1" x14ac:dyDescent="0.25">
      <c r="A13" s="26" t="s">
        <v>31</v>
      </c>
      <c r="B13" s="113">
        <f>F27+F34+F42+B35+B43+B27</f>
        <v>984.62</v>
      </c>
      <c r="C13" s="4"/>
    </row>
    <row r="14" spans="1:14" ht="15" customHeight="1" x14ac:dyDescent="0.25">
      <c r="A14" s="25" t="s">
        <v>39</v>
      </c>
      <c r="B14" s="48">
        <f>B12-B13</f>
        <v>1515.38</v>
      </c>
      <c r="C14" s="4"/>
    </row>
    <row r="15" spans="1:14" ht="15.75" thickBot="1" x14ac:dyDescent="0.3">
      <c r="C15" s="4"/>
    </row>
    <row r="16" spans="1:14" ht="15.75" x14ac:dyDescent="0.25">
      <c r="A16" s="31" t="s">
        <v>47</v>
      </c>
      <c r="B16" s="32"/>
      <c r="C16" s="29"/>
    </row>
    <row r="17" spans="1:10" ht="15.75" thickBot="1" x14ac:dyDescent="0.3">
      <c r="A17" s="117">
        <f>IF(B13&lt;B12,((B13*100/B12)/100),"Mais de 100% do ganho mensal")</f>
        <v>0.39384799999999998</v>
      </c>
      <c r="B17" s="118"/>
      <c r="C17" s="3"/>
    </row>
    <row r="18" spans="1:10" x14ac:dyDescent="0.25">
      <c r="C18" s="30"/>
    </row>
    <row r="19" spans="1:10" x14ac:dyDescent="0.25">
      <c r="C19" s="30"/>
    </row>
    <row r="20" spans="1:10" x14ac:dyDescent="0.25">
      <c r="C20" s="30"/>
    </row>
    <row r="21" spans="1:10" x14ac:dyDescent="0.25">
      <c r="C21" s="30"/>
    </row>
    <row r="22" spans="1:10" x14ac:dyDescent="0.25">
      <c r="C22" s="30"/>
    </row>
    <row r="23" spans="1:10" x14ac:dyDescent="0.25">
      <c r="B23" t="s">
        <v>106</v>
      </c>
      <c r="C23" s="30"/>
      <c r="F23" t="s">
        <v>107</v>
      </c>
      <c r="G23" s="7"/>
    </row>
    <row r="24" spans="1:10" x14ac:dyDescent="0.25">
      <c r="C24" s="45"/>
    </row>
    <row r="25" spans="1:10" x14ac:dyDescent="0.25">
      <c r="A25" s="53" t="s">
        <v>27</v>
      </c>
      <c r="B25" s="80" t="s">
        <v>2</v>
      </c>
      <c r="C25" s="80" t="s">
        <v>13</v>
      </c>
      <c r="E25" s="9" t="s">
        <v>12</v>
      </c>
      <c r="F25" s="9" t="s">
        <v>2</v>
      </c>
      <c r="G25" s="9" t="s">
        <v>0</v>
      </c>
      <c r="H25" s="9" t="s">
        <v>1</v>
      </c>
      <c r="I25" s="9" t="s">
        <v>10</v>
      </c>
      <c r="J25" s="9" t="s">
        <v>3</v>
      </c>
    </row>
    <row r="26" spans="1:10" x14ac:dyDescent="0.25">
      <c r="A26" s="79" t="s">
        <v>70</v>
      </c>
      <c r="B26" s="73">
        <v>700</v>
      </c>
      <c r="C26" s="66"/>
      <c r="E26" s="53" t="s">
        <v>97</v>
      </c>
      <c r="F26" s="68">
        <v>0</v>
      </c>
      <c r="G26" s="66"/>
      <c r="H26" s="66"/>
      <c r="I26" s="53" t="str">
        <f t="shared" ref="I26" si="0">IF(H26="","Sem data",IF(H26-G26&lt;0,"Pago antes do vencimento",H26-G26))</f>
        <v>Sem data</v>
      </c>
      <c r="J26" s="64" t="str">
        <f>IF(I26:I26="Sem data","Pagar","Pago")</f>
        <v>Pagar</v>
      </c>
    </row>
    <row r="27" spans="1:10" x14ac:dyDescent="0.25">
      <c r="A27" s="112" t="s">
        <v>32</v>
      </c>
      <c r="B27" s="87">
        <f>SUM(Tabela74619[Valor])</f>
        <v>700</v>
      </c>
      <c r="C27" s="115"/>
      <c r="E27" s="112" t="s">
        <v>32</v>
      </c>
      <c r="F27" s="88">
        <f>SUM(Tabela3210[Valor])</f>
        <v>0</v>
      </c>
    </row>
    <row r="28" spans="1:10" x14ac:dyDescent="0.25">
      <c r="A28" s="44"/>
      <c r="B28" s="111"/>
      <c r="E28" s="112" t="s">
        <v>36</v>
      </c>
      <c r="F28" s="88">
        <f>AVERAGE(Tabela3210[Valor])</f>
        <v>0</v>
      </c>
    </row>
    <row r="30" spans="1:10" ht="15.75" x14ac:dyDescent="0.25">
      <c r="F30" t="s">
        <v>103</v>
      </c>
      <c r="G30" s="46"/>
    </row>
    <row r="31" spans="1:10" x14ac:dyDescent="0.25">
      <c r="B31" t="s">
        <v>96</v>
      </c>
      <c r="E31" s="3"/>
      <c r="F31" s="3"/>
      <c r="G31" s="3"/>
      <c r="H31" s="3"/>
      <c r="I31" s="3"/>
      <c r="J31" s="3"/>
    </row>
    <row r="32" spans="1:10" x14ac:dyDescent="0.25">
      <c r="A32" s="3"/>
      <c r="C32" s="3"/>
      <c r="E32" s="16" t="s">
        <v>40</v>
      </c>
      <c r="F32" s="64" t="s">
        <v>2</v>
      </c>
      <c r="G32" s="8" t="s">
        <v>1</v>
      </c>
      <c r="H32" s="8" t="s">
        <v>11</v>
      </c>
      <c r="I32" s="8" t="s">
        <v>22</v>
      </c>
      <c r="J32" s="8" t="s">
        <v>3</v>
      </c>
    </row>
    <row r="33" spans="1:10" ht="15.75" x14ac:dyDescent="0.25">
      <c r="A33" s="56" t="s">
        <v>42</v>
      </c>
      <c r="B33" s="8" t="s">
        <v>2</v>
      </c>
      <c r="C33" s="8" t="s">
        <v>13</v>
      </c>
      <c r="E33" s="53" t="s">
        <v>17</v>
      </c>
      <c r="F33" s="68">
        <v>28.62</v>
      </c>
      <c r="G33" s="66">
        <v>44204</v>
      </c>
      <c r="H33" s="53" t="s">
        <v>18</v>
      </c>
      <c r="I33" s="53" t="s">
        <v>21</v>
      </c>
      <c r="J33" s="53" t="s">
        <v>20</v>
      </c>
    </row>
    <row r="34" spans="1:10" x14ac:dyDescent="0.25">
      <c r="A34" s="79" t="s">
        <v>105</v>
      </c>
      <c r="B34" s="73">
        <v>56</v>
      </c>
      <c r="C34" s="66"/>
      <c r="E34" s="112" t="s">
        <v>32</v>
      </c>
      <c r="F34" s="88">
        <f>SUM(Tabela412[Valor])</f>
        <v>28.62</v>
      </c>
    </row>
    <row r="35" spans="1:10" x14ac:dyDescent="0.25">
      <c r="A35" s="112" t="s">
        <v>32</v>
      </c>
      <c r="B35" s="87">
        <f>SUM(B34:B34)</f>
        <v>56</v>
      </c>
      <c r="E35" s="44"/>
      <c r="F35" s="111"/>
    </row>
    <row r="36" spans="1:10" s="3" customFormat="1" x14ac:dyDescent="0.25">
      <c r="E36" s="44"/>
      <c r="F36" s="41"/>
      <c r="G36"/>
      <c r="H36"/>
      <c r="I36"/>
      <c r="J36"/>
    </row>
    <row r="37" spans="1:10" s="3" customFormat="1" x14ac:dyDescent="0.25">
      <c r="E37" s="44"/>
      <c r="G37"/>
      <c r="H37"/>
      <c r="I37"/>
      <c r="J37"/>
    </row>
    <row r="38" spans="1:10" s="3" customFormat="1" x14ac:dyDescent="0.25">
      <c r="E38"/>
      <c r="F38" s="41" t="s">
        <v>104</v>
      </c>
      <c r="G38"/>
      <c r="H38"/>
      <c r="I38"/>
      <c r="J38"/>
    </row>
    <row r="39" spans="1:10" x14ac:dyDescent="0.25">
      <c r="B39" t="s">
        <v>95</v>
      </c>
    </row>
    <row r="40" spans="1:10" ht="15.75" x14ac:dyDescent="0.25">
      <c r="E40" s="56" t="s">
        <v>7</v>
      </c>
      <c r="F40" s="8" t="s">
        <v>2</v>
      </c>
      <c r="G40" s="8" t="s">
        <v>14</v>
      </c>
      <c r="H40" s="8" t="s">
        <v>13</v>
      </c>
    </row>
    <row r="41" spans="1:10" ht="15.75" x14ac:dyDescent="0.25">
      <c r="A41" s="56" t="s">
        <v>43</v>
      </c>
      <c r="B41" s="8" t="s">
        <v>2</v>
      </c>
      <c r="C41" s="8" t="s">
        <v>13</v>
      </c>
      <c r="E41" s="53" t="s">
        <v>19</v>
      </c>
      <c r="F41" s="68">
        <v>200</v>
      </c>
      <c r="G41" s="53"/>
      <c r="H41" s="66"/>
    </row>
    <row r="42" spans="1:10" x14ac:dyDescent="0.25">
      <c r="A42" s="79" t="s">
        <v>48</v>
      </c>
      <c r="B42" s="73">
        <v>0</v>
      </c>
      <c r="C42" s="66"/>
      <c r="E42" s="112" t="s">
        <v>32</v>
      </c>
      <c r="F42" s="88">
        <f>SUM(Tabela613[Valor])</f>
        <v>200</v>
      </c>
    </row>
    <row r="43" spans="1:10" x14ac:dyDescent="0.25">
      <c r="A43" s="112" t="s">
        <v>32</v>
      </c>
      <c r="B43" s="87">
        <f>SUM(B42:B42)</f>
        <v>0</v>
      </c>
    </row>
    <row r="46" spans="1:10" x14ac:dyDescent="0.25">
      <c r="A46" s="44"/>
      <c r="B46" s="109"/>
    </row>
    <row r="48" spans="1:10" x14ac:dyDescent="0.25">
      <c r="I48" s="14"/>
      <c r="J48" s="14"/>
    </row>
    <row r="49" spans="2:14" ht="18.75" x14ac:dyDescent="0.3">
      <c r="B49" s="14"/>
      <c r="C49" s="14"/>
      <c r="I49" s="17"/>
      <c r="J49" s="14"/>
    </row>
    <row r="50" spans="2:14" x14ac:dyDescent="0.25">
      <c r="B50" s="14"/>
      <c r="C50" s="14"/>
      <c r="H50" s="14"/>
      <c r="I50" s="5"/>
      <c r="J50" s="5"/>
    </row>
    <row r="51" spans="2:14" x14ac:dyDescent="0.25">
      <c r="B51" s="14"/>
      <c r="C51" s="14"/>
      <c r="H51" s="14"/>
      <c r="I51" s="14"/>
      <c r="J51" s="14"/>
    </row>
    <row r="52" spans="2:14" x14ac:dyDescent="0.25">
      <c r="B52" s="14"/>
      <c r="C52" s="14"/>
      <c r="H52" s="14"/>
      <c r="I52" s="14"/>
      <c r="J52" s="14"/>
    </row>
    <row r="53" spans="2:14" x14ac:dyDescent="0.25">
      <c r="B53" s="14"/>
      <c r="C53" s="14"/>
      <c r="H53" s="42"/>
      <c r="I53" s="14"/>
      <c r="J53" s="14"/>
    </row>
    <row r="54" spans="2:14" x14ac:dyDescent="0.25">
      <c r="B54" s="14"/>
      <c r="C54" s="14"/>
      <c r="H54" s="14"/>
      <c r="I54" s="14"/>
      <c r="J54" s="14"/>
    </row>
    <row r="55" spans="2:14" x14ac:dyDescent="0.25">
      <c r="B55" s="14"/>
      <c r="C55" s="14"/>
      <c r="H55" s="14"/>
      <c r="I55" s="14"/>
      <c r="J55" s="14"/>
    </row>
    <row r="56" spans="2:14" ht="15" customHeight="1" x14ac:dyDescent="0.25">
      <c r="B56" s="14"/>
      <c r="C56" s="14"/>
      <c r="H56" s="14"/>
      <c r="I56" s="14"/>
      <c r="J56" s="14"/>
    </row>
    <row r="57" spans="2:14" x14ac:dyDescent="0.25">
      <c r="B57" s="14"/>
      <c r="C57" s="14"/>
      <c r="H57" s="14"/>
      <c r="I57" s="14"/>
      <c r="J57" s="14"/>
    </row>
    <row r="58" spans="2:14" ht="15" customHeight="1" x14ac:dyDescent="0.25">
      <c r="B58" s="14"/>
      <c r="C58" s="14"/>
      <c r="H58" s="14"/>
      <c r="I58" s="42"/>
      <c r="J58" s="42"/>
    </row>
    <row r="59" spans="2:14" ht="15" customHeight="1" x14ac:dyDescent="0.25">
      <c r="B59" s="14"/>
      <c r="C59" s="14"/>
      <c r="H59" s="14"/>
      <c r="I59" s="14"/>
      <c r="J59" s="14"/>
    </row>
    <row r="60" spans="2:14" ht="15" customHeight="1" x14ac:dyDescent="0.25">
      <c r="B60" s="14"/>
      <c r="C60" s="14"/>
      <c r="D60" s="14"/>
      <c r="H60" s="14"/>
      <c r="I60" s="14"/>
      <c r="J60" s="14"/>
      <c r="K60" s="14"/>
      <c r="L60" s="14"/>
      <c r="M60" s="14"/>
      <c r="N60" s="14"/>
    </row>
    <row r="61" spans="2:14" ht="13.5" customHeight="1" x14ac:dyDescent="0.25">
      <c r="D61" s="14"/>
      <c r="H61" s="14"/>
      <c r="I61" s="14"/>
      <c r="J61" s="14"/>
      <c r="K61" s="14"/>
      <c r="L61" s="14"/>
      <c r="M61" s="14"/>
      <c r="N61" s="14"/>
    </row>
    <row r="62" spans="2:14" ht="16.5" customHeight="1" x14ac:dyDescent="0.25">
      <c r="D62" s="14"/>
      <c r="H62" s="14"/>
      <c r="I62" s="14"/>
      <c r="J62" s="14"/>
      <c r="K62" s="14"/>
      <c r="L62" s="14"/>
      <c r="M62" s="14"/>
      <c r="N62" s="14"/>
    </row>
    <row r="63" spans="2:14" ht="15" customHeight="1" x14ac:dyDescent="0.25">
      <c r="D63" s="14"/>
      <c r="H63" s="14"/>
      <c r="I63" s="14"/>
      <c r="J63" s="14"/>
      <c r="K63" s="14"/>
      <c r="L63" s="14"/>
      <c r="M63" s="14"/>
      <c r="N63" s="14"/>
    </row>
    <row r="64" spans="2:14" ht="15" customHeight="1" x14ac:dyDescent="0.25">
      <c r="D64" s="14"/>
      <c r="H64" s="14"/>
      <c r="I64" s="14"/>
      <c r="J64" s="14"/>
      <c r="K64" s="14"/>
      <c r="L64" s="14"/>
      <c r="M64" s="14"/>
      <c r="N64" s="14"/>
    </row>
    <row r="65" spans="4:14" ht="16.5" customHeight="1" x14ac:dyDescent="0.25">
      <c r="D65" s="14"/>
      <c r="E65" s="14"/>
      <c r="F65" s="14"/>
      <c r="G65" s="14"/>
      <c r="H65" s="14"/>
      <c r="I65" s="14"/>
      <c r="J65" s="14"/>
      <c r="K65" s="14"/>
      <c r="L65" s="14"/>
      <c r="M65" s="14"/>
      <c r="N65" s="14"/>
    </row>
    <row r="66" spans="4:14" ht="18" customHeight="1" x14ac:dyDescent="0.25">
      <c r="D66" s="14"/>
      <c r="E66" s="14"/>
      <c r="F66" s="14"/>
      <c r="G66" s="14"/>
      <c r="H66" s="14"/>
      <c r="I66" s="14"/>
      <c r="J66" s="14"/>
      <c r="K66" s="14"/>
      <c r="L66" s="14"/>
      <c r="M66" s="14"/>
      <c r="N66" s="14"/>
    </row>
    <row r="67" spans="4:14" ht="15.75" customHeight="1" x14ac:dyDescent="0.25">
      <c r="D67" s="14"/>
      <c r="E67" s="14"/>
      <c r="F67" s="14"/>
      <c r="G67" s="14"/>
      <c r="H67" s="14"/>
      <c r="I67" s="14"/>
      <c r="J67" s="14"/>
      <c r="K67" s="14"/>
      <c r="L67" s="14"/>
      <c r="M67" s="14"/>
      <c r="N67" s="14"/>
    </row>
    <row r="68" spans="4:14" ht="15" customHeight="1" x14ac:dyDescent="0.25">
      <c r="D68" s="14"/>
      <c r="I68" s="14"/>
      <c r="J68" s="14"/>
      <c r="K68" s="14"/>
      <c r="L68" s="14"/>
      <c r="M68" s="14"/>
      <c r="N68" s="14"/>
    </row>
    <row r="69" spans="4:14" ht="15" customHeight="1" x14ac:dyDescent="0.25">
      <c r="D69" s="14"/>
      <c r="I69" s="14"/>
      <c r="J69" s="14"/>
      <c r="K69" s="14"/>
      <c r="L69" s="14"/>
      <c r="M69" s="14"/>
      <c r="N69" s="14"/>
    </row>
    <row r="70" spans="4:14" ht="15" customHeight="1" x14ac:dyDescent="0.25">
      <c r="D70" s="42"/>
      <c r="I70" s="14"/>
      <c r="J70" s="14"/>
      <c r="K70" s="14"/>
      <c r="L70" s="116"/>
      <c r="M70" s="116"/>
      <c r="N70" s="116"/>
    </row>
    <row r="71" spans="4:14" ht="15" customHeight="1" x14ac:dyDescent="0.25">
      <c r="D71" s="14"/>
      <c r="I71" s="14"/>
      <c r="J71" s="14"/>
      <c r="K71" s="14"/>
      <c r="L71" s="14"/>
      <c r="M71" s="14"/>
      <c r="N71" s="14"/>
    </row>
    <row r="72" spans="4:14" ht="15" customHeight="1" x14ac:dyDescent="0.25">
      <c r="D72" s="14"/>
      <c r="I72" s="14"/>
      <c r="J72" s="14"/>
      <c r="K72" s="14"/>
      <c r="L72" s="14"/>
      <c r="M72" s="14"/>
      <c r="N72" s="14"/>
    </row>
    <row r="73" spans="4:14" ht="15" customHeight="1" x14ac:dyDescent="0.25">
      <c r="D73" s="14"/>
      <c r="K73" s="14"/>
      <c r="L73" s="14"/>
      <c r="M73" s="14"/>
      <c r="N73" s="14"/>
    </row>
    <row r="74" spans="4:14" ht="15" customHeight="1" x14ac:dyDescent="0.25">
      <c r="D74" s="14"/>
      <c r="K74" s="14"/>
      <c r="L74" s="14"/>
      <c r="M74" s="14"/>
      <c r="N74" s="14"/>
    </row>
    <row r="75" spans="4:14" ht="15" customHeight="1" x14ac:dyDescent="0.25">
      <c r="D75" s="14"/>
      <c r="K75" s="14"/>
      <c r="L75" s="14"/>
      <c r="M75" s="14"/>
      <c r="N75" s="14"/>
    </row>
    <row r="76" spans="4:14" ht="15" customHeight="1" x14ac:dyDescent="0.25">
      <c r="D76" s="14"/>
      <c r="K76" s="14"/>
      <c r="L76" s="14"/>
      <c r="M76" s="14"/>
      <c r="N76" s="14"/>
    </row>
    <row r="77" spans="4:14" ht="15" customHeight="1" x14ac:dyDescent="0.25">
      <c r="D77" s="14"/>
      <c r="K77" s="14"/>
      <c r="L77" s="14"/>
      <c r="M77" s="14"/>
      <c r="N77" s="14"/>
    </row>
    <row r="78" spans="4:14" ht="15" customHeight="1" x14ac:dyDescent="0.25">
      <c r="D78" s="14"/>
      <c r="K78" s="14"/>
      <c r="L78" s="14"/>
      <c r="M78" s="14"/>
      <c r="N78" s="14"/>
    </row>
    <row r="79" spans="4:14" ht="15" customHeight="1" x14ac:dyDescent="0.25">
      <c r="D79" s="14"/>
      <c r="K79" s="14"/>
      <c r="L79" s="14"/>
      <c r="M79" s="14"/>
      <c r="N79" s="14"/>
    </row>
    <row r="80" spans="4:14" ht="15" customHeight="1" x14ac:dyDescent="0.25">
      <c r="D80" s="14"/>
      <c r="K80" s="14"/>
      <c r="L80" s="14"/>
      <c r="M80" s="14"/>
      <c r="N80" s="14"/>
    </row>
    <row r="81" spans="4:14" ht="15" customHeight="1" x14ac:dyDescent="0.25">
      <c r="D81" s="14"/>
      <c r="K81" s="14"/>
      <c r="L81" s="14"/>
      <c r="M81" s="14"/>
      <c r="N81" s="14"/>
    </row>
    <row r="82" spans="4:14" x14ac:dyDescent="0.25">
      <c r="D82" s="14"/>
      <c r="K82" s="14"/>
      <c r="L82" s="14"/>
      <c r="M82" s="14"/>
      <c r="N82" s="14"/>
    </row>
    <row r="83" spans="4:14" x14ac:dyDescent="0.25">
      <c r="D83" s="14"/>
      <c r="K83" s="14"/>
      <c r="L83" s="14"/>
      <c r="M83" s="14"/>
      <c r="N83" s="14"/>
    </row>
    <row r="84" spans="4:14" x14ac:dyDescent="0.25">
      <c r="D84" s="14"/>
      <c r="K84" s="14"/>
      <c r="L84" s="14"/>
      <c r="M84" s="14"/>
      <c r="N84" s="14"/>
    </row>
  </sheetData>
  <mergeCells count="2">
    <mergeCell ref="A17:B17"/>
    <mergeCell ref="L70:N70"/>
  </mergeCells>
  <conditionalFormatting sqref="A17">
    <cfRule type="dataBar" priority="4">
      <dataBar>
        <cfvo type="num" val="0"/>
        <cfvo type="num" val="1"/>
        <color theme="4" tint="0.39997558519241921"/>
      </dataBar>
      <extLst>
        <ext xmlns:x14="http://schemas.microsoft.com/office/spreadsheetml/2009/9/main" uri="{B025F937-C7B1-47D3-B67F-A62EFF666E3E}">
          <x14:id>{175C789A-6AE4-4671-8DA6-845ED016FE8D}</x14:id>
        </ext>
      </extLst>
    </cfRule>
  </conditionalFormatting>
  <conditionalFormatting sqref="A17:B17">
    <cfRule type="containsText" dxfId="43" priority="5" operator="containsText" text="Mais de 100%">
      <formula>NOT(ISERROR(SEARCH("Mais de 100%",A17)))</formula>
    </cfRule>
  </conditionalFormatting>
  <conditionalFormatting sqref="J26">
    <cfRule type="containsText" dxfId="42" priority="2" operator="containsText" text="Pagar">
      <formula>NOT(ISERROR(SEARCH("Pagar",J26)))</formula>
    </cfRule>
  </conditionalFormatting>
  <conditionalFormatting sqref="B14">
    <cfRule type="cellIs" dxfId="41" priority="1" operator="lessThan">
      <formula>0</formula>
    </cfRule>
  </conditionalFormatting>
  <pageMargins left="0.511811024" right="0.511811024" top="0.78740157499999996" bottom="0.78740157499999996" header="0.31496062000000002" footer="0.31496062000000002"/>
  <pageSetup paperSize="9" orientation="portrait" horizontalDpi="0" verticalDpi="0" r:id="rId1"/>
  <drawing r:id="rId2"/>
  <legacyDrawing r:id="rId3"/>
  <tableParts count="8">
    <tablePart r:id="rId4"/>
    <tablePart r:id="rId5"/>
    <tablePart r:id="rId6"/>
    <tablePart r:id="rId7"/>
    <tablePart r:id="rId8"/>
    <tablePart r:id="rId9"/>
    <tablePart r:id="rId10"/>
    <tablePart r:id="rId11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5C789A-6AE4-4671-8DA6-845ED016FE8D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A17</xm:sqref>
        </x14:conditionalFormatting>
        <x14:conditionalFormatting xmlns:xm="http://schemas.microsoft.com/office/excel/2006/main">
          <x14:cfRule type="containsText" priority="3" operator="containsText" id="{C569E841-461E-47B9-A0C9-E16B58261598}">
            <xm:f>NOT(ISERROR(SEARCH(Pagar,J33)))</xm:f>
            <xm:f>Pagar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J33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11C792-7CBF-4BCE-ADE6-9CA7477BB8F3}">
  <sheetPr codeName="Planilha7"/>
  <dimension ref="A1:XFC84"/>
  <sheetViews>
    <sheetView showGridLines="0" zoomScale="82" zoomScaleNormal="82" workbookViewId="0">
      <selection activeCell="C20" sqref="C20"/>
    </sheetView>
  </sheetViews>
  <sheetFormatPr defaultColWidth="0" defaultRowHeight="15" x14ac:dyDescent="0.25"/>
  <cols>
    <col min="1" max="1" width="22.42578125" customWidth="1"/>
    <col min="2" max="2" width="16.7109375" customWidth="1"/>
    <col min="3" max="3" width="14.85546875" customWidth="1"/>
    <col min="4" max="4" width="18.140625" customWidth="1"/>
    <col min="5" max="5" width="29.7109375" customWidth="1"/>
    <col min="6" max="6" width="17.140625" customWidth="1"/>
    <col min="7" max="7" width="26" customWidth="1"/>
    <col min="8" max="8" width="25" bestFit="1" customWidth="1"/>
    <col min="9" max="9" width="26.5703125" bestFit="1" customWidth="1"/>
    <col min="10" max="10" width="13" customWidth="1"/>
    <col min="11" max="11" width="12" customWidth="1"/>
    <col min="12" max="12" width="19.5703125" hidden="1" customWidth="1"/>
    <col min="13" max="13" width="16" hidden="1" customWidth="1"/>
    <col min="14" max="14" width="17.85546875" customWidth="1"/>
    <col min="16382" max="16382" width="1.7109375" hidden="1"/>
    <col min="16383" max="16383" width="7.28515625" hidden="1"/>
  </cols>
  <sheetData>
    <row r="1" spans="1:14" s="1" customFormat="1" ht="34.5" customHeight="1" x14ac:dyDescent="0.25">
      <c r="A1" s="12" t="s">
        <v>24</v>
      </c>
      <c r="B1" s="12"/>
      <c r="C1" s="12"/>
      <c r="D1" s="12"/>
      <c r="E1" s="12"/>
      <c r="F1" s="12"/>
      <c r="G1" s="12"/>
      <c r="H1" s="12"/>
      <c r="I1" s="12"/>
      <c r="J1" s="12"/>
      <c r="K1" s="12"/>
      <c r="L1" s="12"/>
      <c r="M1" s="12"/>
      <c r="N1" s="12"/>
    </row>
    <row r="2" spans="1:14" s="1" customFormat="1" ht="18" customHeight="1" x14ac:dyDescent="0.25">
      <c r="A2" s="12"/>
      <c r="B2" s="12"/>
      <c r="C2" s="12"/>
      <c r="D2" s="12"/>
      <c r="E2" s="12"/>
      <c r="F2" s="12"/>
      <c r="G2" s="12"/>
      <c r="H2" s="12"/>
      <c r="I2" s="12"/>
      <c r="J2" s="12"/>
      <c r="K2" s="12"/>
      <c r="L2" s="12"/>
      <c r="M2" s="12"/>
      <c r="N2" s="12"/>
    </row>
    <row r="3" spans="1:14" ht="21.75" customHeight="1" x14ac:dyDescent="0.25">
      <c r="C3" s="3"/>
    </row>
    <row r="4" spans="1:14" ht="21.75" customHeight="1" x14ac:dyDescent="0.3">
      <c r="A4" s="33" t="s">
        <v>45</v>
      </c>
      <c r="B4" s="37" t="s">
        <v>28</v>
      </c>
      <c r="C4" s="3"/>
    </row>
    <row r="5" spans="1:14" ht="15" customHeight="1" x14ac:dyDescent="0.25">
      <c r="A5" t="s">
        <v>25</v>
      </c>
      <c r="B5" s="6">
        <f>1800</f>
        <v>1800</v>
      </c>
      <c r="C5" s="3"/>
    </row>
    <row r="6" spans="1:14" ht="15" customHeight="1" x14ac:dyDescent="0.25">
      <c r="A6" t="s">
        <v>26</v>
      </c>
      <c r="B6" s="6"/>
      <c r="C6" s="3"/>
    </row>
    <row r="7" spans="1:14" ht="15" customHeight="1" x14ac:dyDescent="0.25">
      <c r="A7" t="s">
        <v>27</v>
      </c>
      <c r="B7" s="40">
        <f>B27</f>
        <v>20</v>
      </c>
      <c r="C7" s="3"/>
    </row>
    <row r="8" spans="1:14" ht="15" customHeight="1" x14ac:dyDescent="0.25">
      <c r="A8" t="s">
        <v>29</v>
      </c>
      <c r="B8" s="6"/>
      <c r="C8" s="3"/>
    </row>
    <row r="9" spans="1:14" ht="15" customHeight="1" x14ac:dyDescent="0.25">
      <c r="A9" s="24" t="s">
        <v>32</v>
      </c>
      <c r="B9" s="25">
        <f>SUM(B5:B8)</f>
        <v>1820</v>
      </c>
      <c r="C9" s="3"/>
    </row>
    <row r="10" spans="1:14" ht="15" customHeight="1" x14ac:dyDescent="0.25">
      <c r="C10" s="3"/>
    </row>
    <row r="11" spans="1:14" ht="17.25" customHeight="1" x14ac:dyDescent="0.3">
      <c r="A11" s="34" t="s">
        <v>46</v>
      </c>
      <c r="B11" s="38" t="s">
        <v>30</v>
      </c>
      <c r="C11" s="28"/>
    </row>
    <row r="12" spans="1:14" ht="15" customHeight="1" x14ac:dyDescent="0.25">
      <c r="A12" s="6" t="s">
        <v>34</v>
      </c>
      <c r="B12" s="13">
        <f>B5+B7</f>
        <v>1820</v>
      </c>
      <c r="C12" s="4"/>
    </row>
    <row r="13" spans="1:14" ht="15" customHeight="1" x14ac:dyDescent="0.25">
      <c r="A13" s="26" t="s">
        <v>31</v>
      </c>
      <c r="B13" s="113">
        <f>F27+F35+F44+B35+B44+B27</f>
        <v>778</v>
      </c>
      <c r="C13" s="4"/>
    </row>
    <row r="14" spans="1:14" ht="15" customHeight="1" x14ac:dyDescent="0.25">
      <c r="A14" s="25" t="s">
        <v>39</v>
      </c>
      <c r="B14" s="48">
        <f>B12-B13</f>
        <v>1042</v>
      </c>
      <c r="C14" s="4"/>
    </row>
    <row r="15" spans="1:14" ht="15.75" thickBot="1" x14ac:dyDescent="0.3">
      <c r="C15" s="4"/>
    </row>
    <row r="16" spans="1:14" ht="15.75" x14ac:dyDescent="0.25">
      <c r="A16" s="31" t="s">
        <v>47</v>
      </c>
      <c r="B16" s="32"/>
      <c r="C16" s="29"/>
    </row>
    <row r="17" spans="1:10" ht="15.75" thickBot="1" x14ac:dyDescent="0.3">
      <c r="A17" s="117">
        <f>IF(B13&lt;B12,((B13*100/B12)/100),"Mais de 100% do ganho mensal")</f>
        <v>0.42747252747252745</v>
      </c>
      <c r="B17" s="118"/>
      <c r="C17" s="3"/>
    </row>
    <row r="18" spans="1:10" x14ac:dyDescent="0.25">
      <c r="C18" s="30"/>
    </row>
    <row r="19" spans="1:10" x14ac:dyDescent="0.25">
      <c r="C19" s="30"/>
    </row>
    <row r="20" spans="1:10" x14ac:dyDescent="0.25">
      <c r="C20" s="30"/>
    </row>
    <row r="21" spans="1:10" x14ac:dyDescent="0.25">
      <c r="C21" s="30"/>
    </row>
    <row r="22" spans="1:10" x14ac:dyDescent="0.25">
      <c r="C22" s="30"/>
    </row>
    <row r="23" spans="1:10" x14ac:dyDescent="0.25">
      <c r="B23" t="s">
        <v>101</v>
      </c>
      <c r="C23" s="30"/>
      <c r="F23" t="s">
        <v>101</v>
      </c>
      <c r="G23" s="7"/>
    </row>
    <row r="24" spans="1:10" x14ac:dyDescent="0.25">
      <c r="C24" s="45"/>
    </row>
    <row r="25" spans="1:10" x14ac:dyDescent="0.25">
      <c r="A25" s="64" t="s">
        <v>27</v>
      </c>
      <c r="B25" s="8" t="s">
        <v>2</v>
      </c>
      <c r="C25" s="8" t="s">
        <v>13</v>
      </c>
      <c r="E25" s="9" t="s">
        <v>12</v>
      </c>
      <c r="F25" s="9" t="s">
        <v>2</v>
      </c>
      <c r="G25" s="9" t="s">
        <v>0</v>
      </c>
      <c r="H25" s="9" t="s">
        <v>1</v>
      </c>
      <c r="I25" s="9" t="s">
        <v>10</v>
      </c>
      <c r="J25" s="9" t="s">
        <v>3</v>
      </c>
    </row>
    <row r="26" spans="1:10" x14ac:dyDescent="0.25">
      <c r="A26" s="79" t="s">
        <v>90</v>
      </c>
      <c r="B26" s="73">
        <v>20</v>
      </c>
      <c r="C26" s="20"/>
      <c r="E26" s="53" t="s">
        <v>109</v>
      </c>
      <c r="F26" s="68">
        <v>500</v>
      </c>
      <c r="G26" s="66"/>
      <c r="H26" s="66"/>
      <c r="I26" s="53" t="str">
        <f t="shared" ref="I26" si="0">IF(H26="","Sem data",IF(H26-G26&lt;0,"Pago antes do vencimento",H26-G26))</f>
        <v>Sem data</v>
      </c>
      <c r="J26" s="64" t="str">
        <f>IF(I26:I26="Sem data","Pagar","Pago")</f>
        <v>Pagar</v>
      </c>
    </row>
    <row r="27" spans="1:10" x14ac:dyDescent="0.25">
      <c r="A27" s="112" t="s">
        <v>32</v>
      </c>
      <c r="B27" s="87">
        <f>SUM(Tabela7461927[Valor])</f>
        <v>20</v>
      </c>
      <c r="E27" s="112" t="s">
        <v>32</v>
      </c>
      <c r="F27" s="88">
        <f>SUM(Tabela321021[Valor])</f>
        <v>500</v>
      </c>
    </row>
    <row r="28" spans="1:10" x14ac:dyDescent="0.25">
      <c r="A28" s="44"/>
      <c r="B28" s="111"/>
      <c r="E28" s="112" t="s">
        <v>36</v>
      </c>
      <c r="F28" s="88">
        <f>AVERAGE(Tabela321021[Valor])</f>
        <v>500</v>
      </c>
    </row>
    <row r="30" spans="1:10" ht="15.75" x14ac:dyDescent="0.25">
      <c r="G30" s="46"/>
    </row>
    <row r="31" spans="1:10" x14ac:dyDescent="0.25">
      <c r="B31" s="3" t="s">
        <v>101</v>
      </c>
      <c r="E31" s="3"/>
      <c r="F31" s="3" t="s">
        <v>101</v>
      </c>
      <c r="G31" s="3"/>
      <c r="H31" s="3"/>
      <c r="I31" s="3"/>
      <c r="J31" s="3"/>
    </row>
    <row r="32" spans="1:10" x14ac:dyDescent="0.25">
      <c r="A32" s="3"/>
      <c r="B32" s="41"/>
      <c r="C32" s="3"/>
    </row>
    <row r="33" spans="1:10" x14ac:dyDescent="0.25">
      <c r="A33" s="64" t="s">
        <v>42</v>
      </c>
      <c r="B33" s="8" t="s">
        <v>2</v>
      </c>
      <c r="C33" s="8" t="s">
        <v>13</v>
      </c>
      <c r="E33" s="16" t="s">
        <v>40</v>
      </c>
      <c r="F33" s="8" t="s">
        <v>2</v>
      </c>
      <c r="G33" s="8" t="s">
        <v>1</v>
      </c>
      <c r="H33" s="8" t="s">
        <v>11</v>
      </c>
      <c r="I33" s="8" t="s">
        <v>22</v>
      </c>
      <c r="J33" s="8" t="s">
        <v>3</v>
      </c>
    </row>
    <row r="34" spans="1:10" x14ac:dyDescent="0.25">
      <c r="A34" s="81" t="s">
        <v>84</v>
      </c>
      <c r="B34" s="73">
        <v>30</v>
      </c>
      <c r="C34" s="61"/>
      <c r="E34" s="53" t="s">
        <v>108</v>
      </c>
      <c r="F34" s="68">
        <v>0</v>
      </c>
      <c r="G34" s="11"/>
      <c r="H34" s="7"/>
      <c r="I34" s="7"/>
      <c r="J34" s="7"/>
    </row>
    <row r="35" spans="1:10" x14ac:dyDescent="0.25">
      <c r="A35" s="112" t="s">
        <v>32</v>
      </c>
      <c r="B35" s="88">
        <f>SUM(Tabela71725[Valor])</f>
        <v>30</v>
      </c>
      <c r="E35" s="112" t="s">
        <v>32</v>
      </c>
      <c r="F35" s="88">
        <f>SUM(Tabela41223[Valor])</f>
        <v>0</v>
      </c>
    </row>
    <row r="36" spans="1:10" s="3" customFormat="1" x14ac:dyDescent="0.25">
      <c r="E36" s="44"/>
      <c r="F36" s="41"/>
      <c r="G36"/>
      <c r="H36"/>
      <c r="I36"/>
      <c r="J36"/>
    </row>
    <row r="37" spans="1:10" s="3" customFormat="1" x14ac:dyDescent="0.25">
      <c r="E37" s="44"/>
      <c r="F37" s="41"/>
      <c r="G37"/>
      <c r="H37"/>
      <c r="I37"/>
      <c r="J37"/>
    </row>
    <row r="38" spans="1:10" s="3" customFormat="1" x14ac:dyDescent="0.25">
      <c r="E38" s="44"/>
      <c r="F38" s="41"/>
      <c r="G38"/>
      <c r="H38"/>
      <c r="I38"/>
      <c r="J38"/>
    </row>
    <row r="40" spans="1:10" x14ac:dyDescent="0.25">
      <c r="A40" s="44"/>
      <c r="B40" s="111" t="s">
        <v>101</v>
      </c>
      <c r="F40" t="s">
        <v>101</v>
      </c>
    </row>
    <row r="42" spans="1:10" ht="15.75" x14ac:dyDescent="0.25">
      <c r="A42" s="56" t="s">
        <v>43</v>
      </c>
      <c r="B42" s="8" t="s">
        <v>2</v>
      </c>
      <c r="C42" s="8" t="s">
        <v>13</v>
      </c>
      <c r="E42" s="56" t="s">
        <v>7</v>
      </c>
      <c r="F42" s="8" t="s">
        <v>2</v>
      </c>
      <c r="G42" s="8" t="s">
        <v>14</v>
      </c>
      <c r="H42" s="8" t="s">
        <v>13</v>
      </c>
    </row>
    <row r="43" spans="1:10" x14ac:dyDescent="0.25">
      <c r="A43" s="79" t="s">
        <v>80</v>
      </c>
      <c r="B43" s="73">
        <v>0</v>
      </c>
      <c r="C43" s="22"/>
      <c r="E43" s="53" t="s">
        <v>15</v>
      </c>
      <c r="F43" s="68">
        <v>228</v>
      </c>
      <c r="G43" s="53">
        <v>25</v>
      </c>
      <c r="H43" s="66">
        <v>44257</v>
      </c>
    </row>
    <row r="44" spans="1:10" x14ac:dyDescent="0.25">
      <c r="A44" s="112" t="s">
        <v>32</v>
      </c>
      <c r="B44" s="87">
        <f>SUM(B43:B43)</f>
        <v>0</v>
      </c>
      <c r="E44" s="112" t="s">
        <v>32</v>
      </c>
      <c r="F44" s="97">
        <f>SUM(Tabela61324[Valor])</f>
        <v>228</v>
      </c>
    </row>
    <row r="45" spans="1:10" x14ac:dyDescent="0.25">
      <c r="E45" s="112" t="s">
        <v>38</v>
      </c>
      <c r="F45" s="97">
        <f>AVERAGE(Tabela61324[Valor])</f>
        <v>228</v>
      </c>
    </row>
    <row r="48" spans="1:10" x14ac:dyDescent="0.25">
      <c r="I48" s="14"/>
      <c r="J48" s="14"/>
    </row>
    <row r="49" spans="1:14" ht="18.75" x14ac:dyDescent="0.3">
      <c r="I49" s="17"/>
      <c r="J49" s="14"/>
    </row>
    <row r="50" spans="1:14" x14ac:dyDescent="0.25">
      <c r="A50" s="44"/>
      <c r="B50" s="109"/>
      <c r="H50" s="14"/>
      <c r="I50" s="5"/>
      <c r="J50" s="5"/>
    </row>
    <row r="51" spans="1:14" x14ac:dyDescent="0.25">
      <c r="H51" s="14"/>
      <c r="I51" s="14"/>
      <c r="J51" s="14"/>
    </row>
    <row r="52" spans="1:14" x14ac:dyDescent="0.25">
      <c r="B52" s="14"/>
      <c r="C52" s="14"/>
      <c r="H52" s="14"/>
      <c r="I52" s="14"/>
      <c r="J52" s="14"/>
    </row>
    <row r="53" spans="1:14" x14ac:dyDescent="0.25">
      <c r="B53" s="14"/>
      <c r="C53" s="14"/>
      <c r="H53" s="49"/>
      <c r="I53" s="14"/>
      <c r="J53" s="14"/>
    </row>
    <row r="54" spans="1:14" ht="15" customHeight="1" x14ac:dyDescent="0.25">
      <c r="B54" s="14"/>
      <c r="C54" s="14"/>
      <c r="H54" s="14"/>
      <c r="I54" s="14"/>
      <c r="J54" s="14"/>
    </row>
    <row r="55" spans="1:14" x14ac:dyDescent="0.25">
      <c r="B55" s="14"/>
      <c r="C55" s="14"/>
      <c r="H55" s="14"/>
      <c r="I55" s="14"/>
      <c r="J55" s="14"/>
    </row>
    <row r="56" spans="1:14" x14ac:dyDescent="0.25">
      <c r="B56" s="14"/>
      <c r="C56" s="14"/>
      <c r="H56" s="14"/>
      <c r="I56" s="14"/>
      <c r="J56" s="14"/>
    </row>
    <row r="57" spans="1:14" x14ac:dyDescent="0.25">
      <c r="B57" s="14"/>
      <c r="C57" s="14"/>
      <c r="H57" s="14"/>
      <c r="I57" s="14"/>
      <c r="J57" s="14"/>
    </row>
    <row r="58" spans="1:14" ht="15" customHeight="1" x14ac:dyDescent="0.25">
      <c r="B58" s="14"/>
      <c r="C58" s="14"/>
      <c r="H58" s="14"/>
      <c r="I58" s="49"/>
      <c r="J58" s="49"/>
    </row>
    <row r="59" spans="1:14" ht="15" customHeight="1" x14ac:dyDescent="0.25">
      <c r="B59" s="14"/>
      <c r="C59" s="14"/>
      <c r="H59" s="14"/>
      <c r="I59" s="14"/>
      <c r="J59" s="14"/>
    </row>
    <row r="60" spans="1:14" ht="15" customHeight="1" x14ac:dyDescent="0.25">
      <c r="B60" s="14"/>
      <c r="C60" s="14"/>
      <c r="D60" s="14"/>
      <c r="H60" s="14"/>
      <c r="I60" s="14"/>
      <c r="J60" s="14"/>
      <c r="K60" s="14"/>
      <c r="L60" s="14"/>
      <c r="M60" s="14"/>
      <c r="N60" s="14"/>
    </row>
    <row r="61" spans="1:14" ht="13.5" customHeight="1" x14ac:dyDescent="0.25">
      <c r="B61" s="14"/>
      <c r="C61" s="14"/>
      <c r="D61" s="14"/>
      <c r="H61" s="14"/>
      <c r="I61" s="14"/>
      <c r="J61" s="14"/>
      <c r="K61" s="14"/>
      <c r="L61" s="14"/>
      <c r="M61" s="14"/>
      <c r="N61" s="14"/>
    </row>
    <row r="62" spans="1:14" ht="16.5" customHeight="1" x14ac:dyDescent="0.25">
      <c r="B62" s="14"/>
      <c r="C62" s="14"/>
      <c r="D62" s="14"/>
      <c r="H62" s="14"/>
      <c r="I62" s="14"/>
      <c r="J62" s="14"/>
      <c r="K62" s="14"/>
      <c r="L62" s="14"/>
      <c r="M62" s="14"/>
      <c r="N62" s="14"/>
    </row>
    <row r="63" spans="1:14" ht="15" customHeight="1" x14ac:dyDescent="0.25">
      <c r="B63" s="14"/>
      <c r="C63" s="14"/>
      <c r="D63" s="14"/>
      <c r="H63" s="14"/>
      <c r="I63" s="14"/>
      <c r="J63" s="14"/>
      <c r="K63" s="14"/>
      <c r="L63" s="14"/>
      <c r="M63" s="14"/>
      <c r="N63" s="14"/>
    </row>
    <row r="64" spans="1:14" ht="15" customHeight="1" x14ac:dyDescent="0.25">
      <c r="D64" s="14"/>
      <c r="H64" s="14"/>
      <c r="I64" s="14"/>
      <c r="J64" s="14"/>
      <c r="K64" s="14"/>
      <c r="L64" s="14"/>
      <c r="M64" s="14"/>
      <c r="N64" s="14"/>
    </row>
    <row r="65" spans="4:14" ht="16.5" customHeight="1" x14ac:dyDescent="0.25">
      <c r="D65" s="14"/>
      <c r="E65" s="14"/>
      <c r="F65" s="14"/>
      <c r="G65" s="14"/>
      <c r="H65" s="14"/>
      <c r="I65" s="14"/>
      <c r="J65" s="14"/>
      <c r="K65" s="14"/>
      <c r="L65" s="14"/>
      <c r="M65" s="14"/>
      <c r="N65" s="14"/>
    </row>
    <row r="66" spans="4:14" ht="18" customHeight="1" x14ac:dyDescent="0.25">
      <c r="D66" s="14"/>
      <c r="E66" s="14"/>
      <c r="F66" s="14"/>
      <c r="G66" s="14"/>
      <c r="H66" s="14"/>
      <c r="I66" s="14"/>
      <c r="J66" s="14"/>
      <c r="K66" s="14"/>
      <c r="L66" s="14"/>
      <c r="M66" s="14"/>
      <c r="N66" s="14"/>
    </row>
    <row r="67" spans="4:14" ht="15.75" customHeight="1" x14ac:dyDescent="0.25">
      <c r="D67" s="14"/>
      <c r="E67" s="14"/>
      <c r="F67" s="14"/>
      <c r="G67" s="14"/>
      <c r="H67" s="14"/>
      <c r="I67" s="14"/>
      <c r="J67" s="14"/>
      <c r="K67" s="14"/>
      <c r="L67" s="14"/>
      <c r="M67" s="14"/>
      <c r="N67" s="14"/>
    </row>
    <row r="68" spans="4:14" ht="15" customHeight="1" x14ac:dyDescent="0.25">
      <c r="D68" s="14"/>
      <c r="I68" s="14"/>
      <c r="J68" s="14"/>
      <c r="K68" s="14"/>
      <c r="L68" s="14"/>
      <c r="M68" s="14"/>
      <c r="N68" s="14"/>
    </row>
    <row r="69" spans="4:14" ht="15" customHeight="1" x14ac:dyDescent="0.25">
      <c r="D69" s="14"/>
      <c r="I69" s="14"/>
      <c r="J69" s="14"/>
      <c r="K69" s="14"/>
      <c r="L69" s="14"/>
      <c r="M69" s="14"/>
      <c r="N69" s="14"/>
    </row>
    <row r="70" spans="4:14" ht="15" customHeight="1" x14ac:dyDescent="0.25">
      <c r="D70" s="49"/>
      <c r="I70" s="14"/>
      <c r="J70" s="14"/>
      <c r="K70" s="14"/>
      <c r="L70" s="116"/>
      <c r="M70" s="116"/>
      <c r="N70" s="116"/>
    </row>
    <row r="71" spans="4:14" ht="15" customHeight="1" x14ac:dyDescent="0.25">
      <c r="D71" s="14"/>
      <c r="I71" s="14"/>
      <c r="J71" s="14"/>
      <c r="K71" s="14"/>
      <c r="L71" s="14"/>
      <c r="M71" s="14"/>
      <c r="N71" s="14"/>
    </row>
    <row r="72" spans="4:14" ht="15" customHeight="1" x14ac:dyDescent="0.25">
      <c r="D72" s="14"/>
      <c r="I72" s="14"/>
      <c r="J72" s="14"/>
      <c r="K72" s="14"/>
      <c r="L72" s="14"/>
      <c r="M72" s="14"/>
      <c r="N72" s="14"/>
    </row>
    <row r="73" spans="4:14" ht="15" customHeight="1" x14ac:dyDescent="0.25">
      <c r="D73" s="14"/>
      <c r="K73" s="14"/>
      <c r="L73" s="14"/>
      <c r="M73" s="14"/>
      <c r="N73" s="14"/>
    </row>
    <row r="74" spans="4:14" ht="15" customHeight="1" x14ac:dyDescent="0.25">
      <c r="D74" s="14"/>
      <c r="K74" s="14"/>
      <c r="L74" s="14"/>
      <c r="M74" s="14"/>
      <c r="N74" s="14"/>
    </row>
    <row r="75" spans="4:14" ht="15" customHeight="1" x14ac:dyDescent="0.25">
      <c r="D75" s="14"/>
      <c r="K75" s="14"/>
      <c r="L75" s="14"/>
      <c r="M75" s="14"/>
      <c r="N75" s="14"/>
    </row>
    <row r="76" spans="4:14" ht="15" customHeight="1" x14ac:dyDescent="0.25">
      <c r="D76" s="14"/>
      <c r="K76" s="14"/>
      <c r="L76" s="14"/>
      <c r="M76" s="14"/>
      <c r="N76" s="14"/>
    </row>
    <row r="77" spans="4:14" ht="15" customHeight="1" x14ac:dyDescent="0.25">
      <c r="D77" s="14"/>
      <c r="K77" s="14"/>
      <c r="L77" s="14"/>
      <c r="M77" s="14"/>
      <c r="N77" s="14"/>
    </row>
    <row r="78" spans="4:14" ht="15" customHeight="1" x14ac:dyDescent="0.25">
      <c r="D78" s="14"/>
      <c r="K78" s="14"/>
      <c r="L78" s="14"/>
      <c r="M78" s="14"/>
      <c r="N78" s="14"/>
    </row>
    <row r="79" spans="4:14" ht="15" customHeight="1" x14ac:dyDescent="0.25">
      <c r="D79" s="14"/>
      <c r="K79" s="14"/>
      <c r="L79" s="14"/>
      <c r="M79" s="14"/>
      <c r="N79" s="14"/>
    </row>
    <row r="80" spans="4:14" ht="15" customHeight="1" x14ac:dyDescent="0.25">
      <c r="D80" s="14"/>
      <c r="K80" s="14"/>
      <c r="L80" s="14"/>
      <c r="M80" s="14"/>
      <c r="N80" s="14"/>
    </row>
    <row r="81" spans="4:14" ht="15" customHeight="1" x14ac:dyDescent="0.25">
      <c r="D81" s="14"/>
      <c r="K81" s="14"/>
      <c r="L81" s="14"/>
      <c r="M81" s="14"/>
      <c r="N81" s="14"/>
    </row>
    <row r="82" spans="4:14" x14ac:dyDescent="0.25">
      <c r="D82" s="14"/>
      <c r="K82" s="14"/>
      <c r="L82" s="14"/>
      <c r="M82" s="14"/>
      <c r="N82" s="14"/>
    </row>
    <row r="83" spans="4:14" x14ac:dyDescent="0.25">
      <c r="D83" s="14"/>
      <c r="K83" s="14"/>
      <c r="L83" s="14"/>
      <c r="M83" s="14"/>
      <c r="N83" s="14"/>
    </row>
    <row r="84" spans="4:14" x14ac:dyDescent="0.25">
      <c r="D84" s="14"/>
      <c r="K84" s="14"/>
      <c r="L84" s="14"/>
      <c r="M84" s="14"/>
      <c r="N84" s="14"/>
    </row>
  </sheetData>
  <mergeCells count="2">
    <mergeCell ref="A17:B17"/>
    <mergeCell ref="L70:N70"/>
  </mergeCells>
  <conditionalFormatting sqref="A17">
    <cfRule type="dataBar" priority="4">
      <dataBar>
        <cfvo type="num" val="0"/>
        <cfvo type="num" val="1"/>
        <color theme="4" tint="0.39997558519241921"/>
      </dataBar>
      <extLst>
        <ext xmlns:x14="http://schemas.microsoft.com/office/spreadsheetml/2009/9/main" uri="{B025F937-C7B1-47D3-B67F-A62EFF666E3E}">
          <x14:id>{1AC5DBE0-7A37-4D7B-8D90-D4D4462CE6F6}</x14:id>
        </ext>
      </extLst>
    </cfRule>
  </conditionalFormatting>
  <conditionalFormatting sqref="A17:B17">
    <cfRule type="containsText" dxfId="39" priority="5" operator="containsText" text="Mais de 100%">
      <formula>NOT(ISERROR(SEARCH("Mais de 100%",A17)))</formula>
    </cfRule>
  </conditionalFormatting>
  <conditionalFormatting sqref="J26">
    <cfRule type="containsText" dxfId="38" priority="2" operator="containsText" text="Pagar">
      <formula>NOT(ISERROR(SEARCH("Pagar",J26)))</formula>
    </cfRule>
  </conditionalFormatting>
  <conditionalFormatting sqref="B14">
    <cfRule type="cellIs" dxfId="37" priority="1" operator="lessThan">
      <formula>0</formula>
    </cfRule>
  </conditionalFormatting>
  <pageMargins left="0.511811024" right="0.511811024" top="0.78740157499999996" bottom="0.78740157499999996" header="0.31496062000000002" footer="0.31496062000000002"/>
  <pageSetup paperSize="9" orientation="portrait" horizontalDpi="0" verticalDpi="0" r:id="rId1"/>
  <drawing r:id="rId2"/>
  <legacyDrawing r:id="rId3"/>
  <tableParts count="8">
    <tablePart r:id="rId4"/>
    <tablePart r:id="rId5"/>
    <tablePart r:id="rId6"/>
    <tablePart r:id="rId7"/>
    <tablePart r:id="rId8"/>
    <tablePart r:id="rId9"/>
    <tablePart r:id="rId10"/>
    <tablePart r:id="rId11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AC5DBE0-7A37-4D7B-8D90-D4D4462CE6F6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A17</xm:sqref>
        </x14:conditionalFormatting>
        <x14:conditionalFormatting xmlns:xm="http://schemas.microsoft.com/office/excel/2006/main">
          <x14:cfRule type="containsText" priority="3" operator="containsText" id="{597D1FFF-C2B8-4EBA-AA65-5EDDBD3F2058}">
            <xm:f>NOT(ISERROR(SEARCH(Pagar,J34)))</xm:f>
            <xm:f>Pagar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J34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5819F8-EC36-4652-B849-9291012E3C4A}">
  <sheetPr codeName="Planilha8"/>
  <dimension ref="A1:XFC84"/>
  <sheetViews>
    <sheetView showGridLines="0" tabSelected="1" topLeftCell="A7" zoomScale="82" zoomScaleNormal="82" workbookViewId="0">
      <selection activeCell="B30" sqref="B30"/>
    </sheetView>
  </sheetViews>
  <sheetFormatPr defaultColWidth="0" defaultRowHeight="15" x14ac:dyDescent="0.25"/>
  <cols>
    <col min="1" max="1" width="22.42578125" customWidth="1"/>
    <col min="2" max="2" width="16.7109375" customWidth="1"/>
    <col min="3" max="3" width="14.85546875" customWidth="1"/>
    <col min="4" max="4" width="18.140625" customWidth="1"/>
    <col min="5" max="5" width="29.7109375" customWidth="1"/>
    <col min="6" max="6" width="17.140625" customWidth="1"/>
    <col min="7" max="7" width="26" customWidth="1"/>
    <col min="8" max="8" width="25.42578125" customWidth="1"/>
    <col min="9" max="9" width="26.5703125" bestFit="1" customWidth="1"/>
    <col min="10" max="10" width="13" customWidth="1"/>
    <col min="11" max="11" width="12" customWidth="1"/>
    <col min="12" max="12" width="19.5703125" hidden="1" customWidth="1"/>
    <col min="13" max="13" width="16" hidden="1" customWidth="1"/>
    <col min="14" max="14" width="17.85546875" customWidth="1"/>
    <col min="16383" max="16383" width="1.7109375" hidden="1"/>
  </cols>
  <sheetData>
    <row r="1" spans="1:14" s="1" customFormat="1" ht="34.5" customHeight="1" x14ac:dyDescent="0.25">
      <c r="A1" s="12" t="s">
        <v>24</v>
      </c>
      <c r="B1" s="12"/>
      <c r="C1" s="12"/>
      <c r="D1" s="12"/>
      <c r="E1" s="12"/>
      <c r="F1" s="12"/>
      <c r="G1" s="12"/>
      <c r="H1" s="12"/>
      <c r="I1" s="12"/>
      <c r="J1" s="12"/>
      <c r="K1" s="12"/>
      <c r="L1" s="12"/>
      <c r="M1" s="12"/>
      <c r="N1" s="12"/>
    </row>
    <row r="2" spans="1:14" s="1" customFormat="1" ht="18" customHeight="1" x14ac:dyDescent="0.25">
      <c r="A2" s="12"/>
      <c r="B2" s="12"/>
      <c r="C2" s="12"/>
      <c r="D2" s="12"/>
      <c r="E2" s="12"/>
      <c r="F2" s="12"/>
      <c r="G2" s="12"/>
      <c r="H2" s="12"/>
      <c r="I2" s="12"/>
      <c r="J2" s="12"/>
      <c r="K2" s="12"/>
      <c r="L2" s="12"/>
      <c r="M2" s="12"/>
      <c r="N2" s="12"/>
    </row>
    <row r="3" spans="1:14" ht="18" customHeight="1" x14ac:dyDescent="0.25">
      <c r="C3" s="3"/>
    </row>
    <row r="4" spans="1:14" ht="16.5" customHeight="1" x14ac:dyDescent="0.25">
      <c r="A4" s="46" t="s">
        <v>45</v>
      </c>
      <c r="B4" s="56" t="s">
        <v>28</v>
      </c>
      <c r="C4" s="3"/>
    </row>
    <row r="5" spans="1:14" ht="15" customHeight="1" x14ac:dyDescent="0.25">
      <c r="A5" t="s">
        <v>25</v>
      </c>
      <c r="B5" s="6">
        <f>1800</f>
        <v>1800</v>
      </c>
      <c r="C5" s="3"/>
    </row>
    <row r="6" spans="1:14" ht="15" customHeight="1" x14ac:dyDescent="0.25">
      <c r="A6" t="s">
        <v>26</v>
      </c>
      <c r="B6" s="6"/>
      <c r="C6" s="3"/>
    </row>
    <row r="7" spans="1:14" ht="15" customHeight="1" x14ac:dyDescent="0.25">
      <c r="A7" t="s">
        <v>27</v>
      </c>
      <c r="B7" s="40">
        <f>B27</f>
        <v>100</v>
      </c>
      <c r="C7" s="3"/>
    </row>
    <row r="8" spans="1:14" ht="15" customHeight="1" x14ac:dyDescent="0.25">
      <c r="A8" t="s">
        <v>29</v>
      </c>
      <c r="B8" s="6"/>
      <c r="C8" s="3"/>
    </row>
    <row r="9" spans="1:14" ht="15" customHeight="1" x14ac:dyDescent="0.25">
      <c r="A9" s="24" t="s">
        <v>32</v>
      </c>
      <c r="B9" s="25">
        <f>SUM(B5:B8)</f>
        <v>1900</v>
      </c>
      <c r="C9" s="3"/>
    </row>
    <row r="10" spans="1:14" ht="15" customHeight="1" x14ac:dyDescent="0.25">
      <c r="C10" s="3"/>
    </row>
    <row r="11" spans="1:14" ht="17.25" customHeight="1" x14ac:dyDescent="0.25">
      <c r="A11" s="58" t="s">
        <v>46</v>
      </c>
      <c r="B11" s="59" t="s">
        <v>30</v>
      </c>
      <c r="C11" s="28"/>
    </row>
    <row r="12" spans="1:14" ht="15" customHeight="1" x14ac:dyDescent="0.25">
      <c r="A12" s="6" t="s">
        <v>34</v>
      </c>
      <c r="B12" s="13">
        <f>B5+B7</f>
        <v>1900</v>
      </c>
      <c r="C12" s="4"/>
    </row>
    <row r="13" spans="1:14" ht="15" customHeight="1" x14ac:dyDescent="0.25">
      <c r="A13" s="26" t="s">
        <v>31</v>
      </c>
      <c r="B13" s="27">
        <f>F32+F40+F56+B39+B47</f>
        <v>2233.36</v>
      </c>
      <c r="C13" s="4"/>
    </row>
    <row r="14" spans="1:14" ht="15" customHeight="1" x14ac:dyDescent="0.25">
      <c r="A14" s="25" t="s">
        <v>39</v>
      </c>
      <c r="B14" s="48">
        <f>B12-B13</f>
        <v>-333.36000000000013</v>
      </c>
      <c r="C14" s="4"/>
    </row>
    <row r="15" spans="1:14" ht="15.75" thickBot="1" x14ac:dyDescent="0.3">
      <c r="C15" s="4"/>
    </row>
    <row r="16" spans="1:14" ht="15.75" x14ac:dyDescent="0.25">
      <c r="A16" s="31" t="s">
        <v>47</v>
      </c>
      <c r="B16" s="32"/>
      <c r="C16" s="29"/>
    </row>
    <row r="17" spans="1:10" ht="15.75" thickBot="1" x14ac:dyDescent="0.3">
      <c r="A17" s="117" t="str">
        <f>IF(B13&lt;B12,((B13*100/B12)/100),"Mais de 100% do ganho mensal")</f>
        <v>Mais de 100% do ganho mensal</v>
      </c>
      <c r="B17" s="118"/>
      <c r="C17" s="3"/>
    </row>
    <row r="18" spans="1:10" x14ac:dyDescent="0.25">
      <c r="C18" s="30"/>
    </row>
    <row r="19" spans="1:10" x14ac:dyDescent="0.25">
      <c r="C19" s="30"/>
    </row>
    <row r="20" spans="1:10" x14ac:dyDescent="0.25">
      <c r="C20" s="30"/>
    </row>
    <row r="21" spans="1:10" x14ac:dyDescent="0.25">
      <c r="C21" s="30"/>
    </row>
    <row r="22" spans="1:10" x14ac:dyDescent="0.25">
      <c r="C22" s="30"/>
    </row>
    <row r="23" spans="1:10" x14ac:dyDescent="0.25">
      <c r="C23" s="30"/>
      <c r="G23" s="7"/>
    </row>
    <row r="24" spans="1:10" x14ac:dyDescent="0.25">
      <c r="C24" s="45"/>
    </row>
    <row r="25" spans="1:10" x14ac:dyDescent="0.25">
      <c r="A25" s="35" t="s">
        <v>27</v>
      </c>
      <c r="B25" s="8" t="s">
        <v>2</v>
      </c>
      <c r="C25" s="8" t="s">
        <v>13</v>
      </c>
      <c r="E25" s="57" t="s">
        <v>12</v>
      </c>
      <c r="F25" s="8" t="s">
        <v>2</v>
      </c>
      <c r="G25" s="8" t="s">
        <v>0</v>
      </c>
      <c r="H25" s="8" t="s">
        <v>1</v>
      </c>
      <c r="I25" s="8" t="s">
        <v>10</v>
      </c>
      <c r="J25" s="8" t="s">
        <v>3</v>
      </c>
    </row>
    <row r="26" spans="1:10" x14ac:dyDescent="0.25">
      <c r="A26" s="79" t="s">
        <v>73</v>
      </c>
      <c r="B26" s="73">
        <v>100</v>
      </c>
      <c r="C26" s="66">
        <v>44287</v>
      </c>
      <c r="E26" s="53" t="s">
        <v>8</v>
      </c>
      <c r="F26" s="68">
        <v>511.81</v>
      </c>
      <c r="G26" s="66">
        <v>44296</v>
      </c>
      <c r="H26" s="66"/>
      <c r="I26" s="53" t="str">
        <f t="shared" ref="I26:I30" si="0">IF(H26="","Sem data",IF(H26-G26&lt;0,"Pago antes do vencimento",H26-G26))</f>
        <v>Sem data</v>
      </c>
      <c r="J26" s="64" t="str">
        <f>IF(I26:I31="Sem data","Pagar","Pago")</f>
        <v>Pagar</v>
      </c>
    </row>
    <row r="27" spans="1:10" x14ac:dyDescent="0.25">
      <c r="A27" s="112" t="s">
        <v>32</v>
      </c>
      <c r="B27" s="87">
        <f>SUM(Tabela746192737[Valor])</f>
        <v>100</v>
      </c>
      <c r="E27" s="53" t="s">
        <v>9</v>
      </c>
      <c r="F27" s="68">
        <v>354.39</v>
      </c>
      <c r="G27" s="66">
        <v>44295</v>
      </c>
      <c r="H27" s="66">
        <v>44295</v>
      </c>
      <c r="I27" s="53">
        <f t="shared" si="0"/>
        <v>0</v>
      </c>
      <c r="J27" s="53" t="str">
        <f>IF(I27:I33="Sem data","Pagar","Pago")</f>
        <v>Pago</v>
      </c>
    </row>
    <row r="28" spans="1:10" x14ac:dyDescent="0.25">
      <c r="A28" s="112" t="s">
        <v>37</v>
      </c>
      <c r="B28" s="88">
        <f>AVERAGE(Tabela746192737[Valor])</f>
        <v>100</v>
      </c>
      <c r="E28" s="53" t="s">
        <v>6</v>
      </c>
      <c r="F28" s="68">
        <v>154.63999999999999</v>
      </c>
      <c r="G28" s="66">
        <v>44298</v>
      </c>
      <c r="H28" s="66">
        <v>44308</v>
      </c>
      <c r="I28" s="53">
        <f>IF(H28="","Sem data",IF(H28-G28&lt;0,"Pago antes do vencimento",H28-G28))</f>
        <v>10</v>
      </c>
      <c r="J28" s="53" t="str">
        <f>IF(I28:I34="Sem data","Pagar","Pago")</f>
        <v>Pago</v>
      </c>
    </row>
    <row r="29" spans="1:10" x14ac:dyDescent="0.25">
      <c r="E29" s="53" t="s">
        <v>5</v>
      </c>
      <c r="F29" s="68">
        <v>91.9</v>
      </c>
      <c r="G29" s="66">
        <v>44296</v>
      </c>
      <c r="H29" s="66">
        <v>44308</v>
      </c>
      <c r="I29" s="53">
        <f t="shared" si="0"/>
        <v>12</v>
      </c>
      <c r="J29" s="53" t="str">
        <f>IF(I29:I35="Sem data","Pagar","Pago")</f>
        <v>Pago</v>
      </c>
    </row>
    <row r="30" spans="1:10" x14ac:dyDescent="0.25">
      <c r="E30" s="53" t="s">
        <v>33</v>
      </c>
      <c r="F30" s="68">
        <v>20</v>
      </c>
      <c r="G30" s="66">
        <v>44287</v>
      </c>
      <c r="H30" s="66">
        <v>44287</v>
      </c>
      <c r="I30" s="53">
        <f t="shared" si="0"/>
        <v>0</v>
      </c>
      <c r="J30" s="53" t="str">
        <f>IF(I30:I36="Sem data","Pagar","Pago")</f>
        <v>Pago</v>
      </c>
    </row>
    <row r="31" spans="1:10" x14ac:dyDescent="0.25">
      <c r="E31" s="53" t="s">
        <v>4</v>
      </c>
      <c r="F31" s="68">
        <v>219</v>
      </c>
      <c r="G31" s="66">
        <v>44313</v>
      </c>
      <c r="H31" s="66">
        <v>44327</v>
      </c>
      <c r="I31" s="53">
        <f>IF(H31="","Sem data",IF(H31-G31&lt;0,"Pago antes do vencimento",H31-G31))</f>
        <v>14</v>
      </c>
      <c r="J31" s="53" t="str">
        <f>IF(I31:I36="Sem data","Pagar","Pago")</f>
        <v>Pago</v>
      </c>
    </row>
    <row r="32" spans="1:10" x14ac:dyDescent="0.25">
      <c r="A32" s="3"/>
      <c r="B32" s="41"/>
      <c r="C32" s="3"/>
      <c r="E32" s="47" t="s">
        <v>32</v>
      </c>
      <c r="F32" s="88">
        <f>SUM(Tabela32102129[Valor])</f>
        <v>1351.74</v>
      </c>
    </row>
    <row r="33" spans="1:10" x14ac:dyDescent="0.25">
      <c r="A33" s="3"/>
      <c r="B33" s="41"/>
      <c r="C33" s="3"/>
      <c r="E33" s="47" t="s">
        <v>36</v>
      </c>
      <c r="F33" s="88">
        <f>AVERAGE(Tabela32102129[Valor])</f>
        <v>225.29</v>
      </c>
    </row>
    <row r="34" spans="1:10" x14ac:dyDescent="0.25">
      <c r="A34" s="3"/>
      <c r="B34" s="41"/>
      <c r="C34" s="2"/>
    </row>
    <row r="35" spans="1:10" ht="15.75" x14ac:dyDescent="0.25">
      <c r="A35" s="3"/>
      <c r="B35" s="3"/>
      <c r="C35" s="3"/>
      <c r="G35" s="46"/>
    </row>
    <row r="36" spans="1:10" s="3" customFormat="1" x14ac:dyDescent="0.25"/>
    <row r="37" spans="1:10" s="3" customFormat="1" x14ac:dyDescent="0.25">
      <c r="A37" s="35" t="s">
        <v>42</v>
      </c>
      <c r="B37" s="8" t="s">
        <v>2</v>
      </c>
      <c r="C37" s="8" t="s">
        <v>13</v>
      </c>
    </row>
    <row r="38" spans="1:10" s="3" customFormat="1" x14ac:dyDescent="0.25">
      <c r="A38" s="79"/>
      <c r="B38" s="73">
        <v>0</v>
      </c>
      <c r="C38" s="66"/>
      <c r="E38" s="16" t="s">
        <v>40</v>
      </c>
      <c r="F38" s="8" t="s">
        <v>2</v>
      </c>
      <c r="G38" s="8" t="s">
        <v>1</v>
      </c>
      <c r="H38" s="8" t="s">
        <v>11</v>
      </c>
      <c r="I38" s="8" t="s">
        <v>22</v>
      </c>
      <c r="J38" s="8" t="s">
        <v>3</v>
      </c>
    </row>
    <row r="39" spans="1:10" x14ac:dyDescent="0.25">
      <c r="A39" s="47" t="s">
        <v>32</v>
      </c>
      <c r="B39" s="88">
        <f>SUM(Tabela7172534[Valor])</f>
        <v>0</v>
      </c>
      <c r="E39" s="53" t="s">
        <v>75</v>
      </c>
      <c r="F39" s="68">
        <v>20</v>
      </c>
      <c r="G39" s="66">
        <v>44300</v>
      </c>
      <c r="H39" s="53" t="s">
        <v>76</v>
      </c>
      <c r="I39" s="53" t="s">
        <v>23</v>
      </c>
      <c r="J39" s="53" t="s">
        <v>20</v>
      </c>
    </row>
    <row r="40" spans="1:10" x14ac:dyDescent="0.25">
      <c r="A40" s="47" t="s">
        <v>38</v>
      </c>
      <c r="B40" s="88">
        <f>AVERAGE(Tabela7172534[Valor])</f>
        <v>0</v>
      </c>
      <c r="E40" s="47" t="s">
        <v>32</v>
      </c>
      <c r="F40" s="88">
        <f>SUM(Tabela4122331[Valor])</f>
        <v>20</v>
      </c>
    </row>
    <row r="41" spans="1:10" x14ac:dyDescent="0.25">
      <c r="E41" s="47" t="s">
        <v>37</v>
      </c>
      <c r="F41" s="88">
        <f>AVERAGE(Tabela4122331[Valor])</f>
        <v>20</v>
      </c>
    </row>
    <row r="42" spans="1:10" x14ac:dyDescent="0.25">
      <c r="A42" s="44"/>
      <c r="B42" s="41"/>
      <c r="C42" s="3"/>
      <c r="E42" s="44"/>
      <c r="F42" s="41"/>
    </row>
    <row r="43" spans="1:10" x14ac:dyDescent="0.25">
      <c r="E43" s="44"/>
      <c r="F43" s="41"/>
    </row>
    <row r="45" spans="1:10" ht="15.75" x14ac:dyDescent="0.25">
      <c r="A45" s="36" t="s">
        <v>43</v>
      </c>
      <c r="B45" s="8" t="s">
        <v>2</v>
      </c>
      <c r="C45" s="8" t="s">
        <v>13</v>
      </c>
    </row>
    <row r="46" spans="1:10" ht="15.75" x14ac:dyDescent="0.25">
      <c r="A46" s="79"/>
      <c r="B46" s="73">
        <v>0</v>
      </c>
      <c r="C46" s="66"/>
      <c r="E46" s="36" t="s">
        <v>7</v>
      </c>
      <c r="F46" s="8" t="s">
        <v>2</v>
      </c>
      <c r="G46" s="8" t="s">
        <v>14</v>
      </c>
      <c r="H46" s="8" t="s">
        <v>13</v>
      </c>
    </row>
    <row r="47" spans="1:10" x14ac:dyDescent="0.25">
      <c r="A47" s="47" t="s">
        <v>32</v>
      </c>
      <c r="B47" s="87">
        <f>SUM(B46:B46)</f>
        <v>0</v>
      </c>
      <c r="E47" s="53" t="s">
        <v>19</v>
      </c>
      <c r="F47" s="68">
        <v>119.83</v>
      </c>
      <c r="G47" s="53">
        <v>21</v>
      </c>
      <c r="H47" s="66">
        <v>44287</v>
      </c>
    </row>
    <row r="48" spans="1:10" x14ac:dyDescent="0.25">
      <c r="A48" s="47" t="s">
        <v>38</v>
      </c>
      <c r="B48" s="87">
        <f>AVERAGE(Tabela74182635[Valor])</f>
        <v>0</v>
      </c>
      <c r="E48" s="53" t="s">
        <v>35</v>
      </c>
      <c r="F48" s="68">
        <v>21</v>
      </c>
      <c r="G48" s="53">
        <v>5</v>
      </c>
      <c r="H48" s="66">
        <v>44289</v>
      </c>
    </row>
    <row r="49" spans="2:14" x14ac:dyDescent="0.25">
      <c r="E49" s="53" t="s">
        <v>19</v>
      </c>
      <c r="F49" s="68">
        <v>71.489999999999995</v>
      </c>
      <c r="G49" s="53">
        <v>12</v>
      </c>
      <c r="H49" s="66">
        <v>44292</v>
      </c>
    </row>
    <row r="50" spans="2:14" x14ac:dyDescent="0.25">
      <c r="E50" s="53" t="s">
        <v>74</v>
      </c>
      <c r="F50" s="68">
        <v>232.86</v>
      </c>
      <c r="G50" s="53">
        <v>45</v>
      </c>
      <c r="H50" s="66">
        <v>44293</v>
      </c>
    </row>
    <row r="51" spans="2:14" x14ac:dyDescent="0.25">
      <c r="E51" s="53" t="s">
        <v>19</v>
      </c>
      <c r="F51" s="68">
        <v>48.44</v>
      </c>
      <c r="G51" s="53">
        <v>9</v>
      </c>
      <c r="H51" s="66">
        <v>44302</v>
      </c>
    </row>
    <row r="52" spans="2:14" x14ac:dyDescent="0.25">
      <c r="B52" s="14"/>
      <c r="C52" s="14"/>
      <c r="E52" s="53" t="s">
        <v>35</v>
      </c>
      <c r="F52" s="68">
        <v>28.74</v>
      </c>
      <c r="G52" s="53">
        <v>5</v>
      </c>
      <c r="H52" s="66">
        <v>44304</v>
      </c>
    </row>
    <row r="53" spans="2:14" ht="15" customHeight="1" x14ac:dyDescent="0.25">
      <c r="B53" s="14"/>
      <c r="C53" s="14"/>
      <c r="E53" s="53" t="s">
        <v>74</v>
      </c>
      <c r="F53" s="68">
        <v>231.26</v>
      </c>
      <c r="G53" s="53">
        <v>42</v>
      </c>
      <c r="H53" s="66">
        <v>44309</v>
      </c>
      <c r="I53" s="14"/>
      <c r="J53" s="14"/>
    </row>
    <row r="54" spans="2:14" ht="18.75" x14ac:dyDescent="0.3">
      <c r="B54" s="14"/>
      <c r="C54" s="14"/>
      <c r="E54" s="53" t="s">
        <v>19</v>
      </c>
      <c r="F54" s="68">
        <v>16</v>
      </c>
      <c r="G54" s="53">
        <v>3</v>
      </c>
      <c r="H54" s="66">
        <v>44313</v>
      </c>
      <c r="I54" s="17"/>
      <c r="J54" s="14"/>
    </row>
    <row r="55" spans="2:14" x14ac:dyDescent="0.25">
      <c r="B55" s="14"/>
      <c r="C55" s="14"/>
      <c r="E55" s="53" t="s">
        <v>19</v>
      </c>
      <c r="F55" s="68">
        <v>92</v>
      </c>
      <c r="G55" s="53">
        <v>18</v>
      </c>
      <c r="H55" s="66">
        <v>44315</v>
      </c>
      <c r="I55" s="5"/>
      <c r="J55" s="5"/>
    </row>
    <row r="56" spans="2:14" x14ac:dyDescent="0.25">
      <c r="B56" s="14"/>
      <c r="C56" s="14"/>
      <c r="E56" s="47" t="s">
        <v>32</v>
      </c>
      <c r="F56" s="88">
        <f>SUM(Tabela6132432[Valor])</f>
        <v>861.62</v>
      </c>
      <c r="I56" s="14"/>
      <c r="J56" s="14"/>
    </row>
    <row r="57" spans="2:14" x14ac:dyDescent="0.25">
      <c r="B57" s="14"/>
      <c r="C57" s="14"/>
      <c r="E57" s="47" t="s">
        <v>38</v>
      </c>
      <c r="F57" s="88">
        <f>AVERAGE(Tabela6132432[Valor])</f>
        <v>95.73555555555555</v>
      </c>
      <c r="I57" s="14"/>
      <c r="J57" s="14"/>
    </row>
    <row r="58" spans="2:14" ht="15" customHeight="1" x14ac:dyDescent="0.25">
      <c r="B58" s="14"/>
      <c r="C58" s="14"/>
      <c r="I58" s="14"/>
      <c r="J58" s="14"/>
    </row>
    <row r="59" spans="2:14" ht="15" customHeight="1" x14ac:dyDescent="0.25">
      <c r="B59" s="14"/>
      <c r="C59" s="14"/>
      <c r="I59" s="14"/>
      <c r="J59" s="14"/>
    </row>
    <row r="60" spans="2:14" ht="15" customHeight="1" x14ac:dyDescent="0.25">
      <c r="B60" s="14"/>
      <c r="C60" s="14"/>
      <c r="D60" s="14"/>
      <c r="I60" s="14"/>
      <c r="J60" s="14"/>
      <c r="K60" s="14"/>
      <c r="L60" s="14"/>
      <c r="M60" s="14"/>
      <c r="N60" s="14"/>
    </row>
    <row r="61" spans="2:14" ht="13.5" customHeight="1" x14ac:dyDescent="0.25">
      <c r="B61" s="14"/>
      <c r="C61" s="14"/>
      <c r="D61" s="14"/>
      <c r="I61" s="14"/>
      <c r="J61" s="14"/>
      <c r="K61" s="14"/>
      <c r="L61" s="14"/>
      <c r="M61" s="14"/>
      <c r="N61" s="14"/>
    </row>
    <row r="62" spans="2:14" ht="16.5" customHeight="1" x14ac:dyDescent="0.25">
      <c r="B62" s="14"/>
      <c r="C62" s="14"/>
      <c r="D62" s="14"/>
      <c r="I62" s="14"/>
      <c r="J62" s="14"/>
      <c r="K62" s="14"/>
      <c r="L62" s="14"/>
      <c r="M62" s="14"/>
      <c r="N62" s="14"/>
    </row>
    <row r="63" spans="2:14" ht="15" customHeight="1" x14ac:dyDescent="0.25">
      <c r="B63" s="14"/>
      <c r="C63" s="14"/>
      <c r="D63" s="14"/>
      <c r="H63" s="14"/>
      <c r="I63" s="49"/>
      <c r="J63" s="49"/>
      <c r="K63" s="14"/>
      <c r="L63" s="14"/>
      <c r="M63" s="14"/>
      <c r="N63" s="14"/>
    </row>
    <row r="64" spans="2:14" ht="15" customHeight="1" x14ac:dyDescent="0.25">
      <c r="D64" s="14"/>
      <c r="H64" s="14"/>
      <c r="I64" s="14"/>
      <c r="J64" s="14"/>
      <c r="K64" s="14"/>
      <c r="L64" s="14"/>
      <c r="M64" s="14"/>
      <c r="N64" s="14"/>
    </row>
    <row r="65" spans="4:14" ht="16.5" customHeight="1" x14ac:dyDescent="0.25">
      <c r="D65" s="14"/>
      <c r="H65" s="14"/>
      <c r="I65" s="14"/>
      <c r="J65" s="14"/>
      <c r="K65" s="14"/>
      <c r="L65" s="14"/>
      <c r="M65" s="14"/>
      <c r="N65" s="14"/>
    </row>
    <row r="66" spans="4:14" ht="18" customHeight="1" x14ac:dyDescent="0.25">
      <c r="D66" s="14"/>
      <c r="H66" s="49"/>
      <c r="I66" s="14"/>
      <c r="J66" s="14"/>
      <c r="K66" s="14"/>
      <c r="L66" s="14"/>
      <c r="M66" s="14"/>
      <c r="N66" s="14"/>
    </row>
    <row r="67" spans="4:14" ht="15.75" customHeight="1" x14ac:dyDescent="0.25">
      <c r="D67" s="14"/>
      <c r="H67" s="14"/>
      <c r="I67" s="14"/>
      <c r="J67" s="14"/>
      <c r="K67" s="14"/>
      <c r="L67" s="14"/>
      <c r="M67" s="14"/>
      <c r="N67" s="14"/>
    </row>
    <row r="68" spans="4:14" ht="15" customHeight="1" x14ac:dyDescent="0.25">
      <c r="D68" s="14"/>
      <c r="H68" s="14"/>
      <c r="I68" s="14"/>
      <c r="J68" s="14"/>
      <c r="K68" s="14"/>
      <c r="L68" s="14"/>
      <c r="M68" s="14"/>
      <c r="N68" s="14"/>
    </row>
    <row r="69" spans="4:14" ht="15" customHeight="1" x14ac:dyDescent="0.25">
      <c r="D69" s="14"/>
      <c r="H69" s="14"/>
      <c r="I69" s="14"/>
      <c r="J69" s="14"/>
      <c r="K69" s="14"/>
      <c r="L69" s="14"/>
      <c r="M69" s="14"/>
      <c r="N69" s="14"/>
    </row>
    <row r="70" spans="4:14" ht="15" customHeight="1" x14ac:dyDescent="0.25">
      <c r="D70" s="49"/>
      <c r="H70" s="14"/>
      <c r="I70" s="14"/>
      <c r="J70" s="14"/>
      <c r="K70" s="14"/>
      <c r="L70" s="116"/>
      <c r="M70" s="116"/>
      <c r="N70" s="116"/>
    </row>
    <row r="71" spans="4:14" ht="15" customHeight="1" x14ac:dyDescent="0.25">
      <c r="D71" s="14"/>
      <c r="H71" s="14"/>
      <c r="I71" s="14"/>
      <c r="J71" s="14"/>
      <c r="K71" s="14"/>
      <c r="L71" s="14"/>
      <c r="M71" s="14"/>
      <c r="N71" s="14"/>
    </row>
    <row r="72" spans="4:14" ht="15" customHeight="1" x14ac:dyDescent="0.25">
      <c r="D72" s="14"/>
      <c r="H72" s="14"/>
      <c r="I72" s="14"/>
      <c r="J72" s="14"/>
      <c r="K72" s="14"/>
      <c r="L72" s="14"/>
      <c r="M72" s="14"/>
      <c r="N72" s="14"/>
    </row>
    <row r="73" spans="4:14" ht="15" customHeight="1" x14ac:dyDescent="0.25">
      <c r="D73" s="14"/>
      <c r="H73" s="14"/>
      <c r="I73" s="14"/>
      <c r="J73" s="14"/>
      <c r="K73" s="14"/>
      <c r="L73" s="14"/>
      <c r="M73" s="14"/>
      <c r="N73" s="14"/>
    </row>
    <row r="74" spans="4:14" ht="15" customHeight="1" x14ac:dyDescent="0.25">
      <c r="D74" s="14"/>
      <c r="H74" s="14"/>
      <c r="I74" s="14"/>
      <c r="J74" s="14"/>
      <c r="K74" s="14"/>
      <c r="L74" s="14"/>
      <c r="M74" s="14"/>
      <c r="N74" s="14"/>
    </row>
    <row r="75" spans="4:14" ht="15" customHeight="1" x14ac:dyDescent="0.25">
      <c r="D75" s="14"/>
      <c r="H75" s="14"/>
      <c r="I75" s="14"/>
      <c r="J75" s="14"/>
      <c r="K75" s="14"/>
      <c r="L75" s="14"/>
      <c r="M75" s="14"/>
      <c r="N75" s="14"/>
    </row>
    <row r="76" spans="4:14" ht="15" customHeight="1" x14ac:dyDescent="0.25">
      <c r="D76" s="14"/>
      <c r="H76" s="14"/>
      <c r="I76" s="14"/>
      <c r="J76" s="14"/>
      <c r="K76" s="14"/>
      <c r="L76" s="14"/>
      <c r="M76" s="14"/>
      <c r="N76" s="14"/>
    </row>
    <row r="77" spans="4:14" ht="15" customHeight="1" x14ac:dyDescent="0.25">
      <c r="D77" s="14"/>
      <c r="H77" s="14"/>
      <c r="I77" s="14"/>
      <c r="J77" s="14"/>
      <c r="K77" s="14"/>
      <c r="L77" s="14"/>
      <c r="M77" s="14"/>
      <c r="N77" s="14"/>
    </row>
    <row r="78" spans="4:14" ht="15" customHeight="1" x14ac:dyDescent="0.25">
      <c r="D78" s="14"/>
      <c r="E78" s="14"/>
      <c r="F78" s="14"/>
      <c r="G78" s="14"/>
      <c r="H78" s="14"/>
      <c r="K78" s="14"/>
      <c r="L78" s="14"/>
      <c r="M78" s="14"/>
      <c r="N78" s="14"/>
    </row>
    <row r="79" spans="4:14" ht="15" customHeight="1" x14ac:dyDescent="0.25">
      <c r="D79" s="14"/>
      <c r="E79" s="14"/>
      <c r="F79" s="14"/>
      <c r="G79" s="14"/>
      <c r="H79" s="14"/>
      <c r="K79" s="14"/>
      <c r="L79" s="14"/>
      <c r="M79" s="14"/>
      <c r="N79" s="14"/>
    </row>
    <row r="80" spans="4:14" ht="15" customHeight="1" x14ac:dyDescent="0.25">
      <c r="D80" s="14"/>
      <c r="E80" s="14"/>
      <c r="F80" s="14"/>
      <c r="G80" s="14"/>
      <c r="H80" s="14"/>
      <c r="K80" s="14"/>
      <c r="L80" s="14"/>
      <c r="M80" s="14"/>
      <c r="N80" s="14"/>
    </row>
    <row r="81" spans="4:14" ht="15" customHeight="1" x14ac:dyDescent="0.25">
      <c r="D81" s="14"/>
      <c r="K81" s="14"/>
      <c r="L81" s="14"/>
      <c r="M81" s="14"/>
      <c r="N81" s="14"/>
    </row>
    <row r="82" spans="4:14" x14ac:dyDescent="0.25">
      <c r="D82" s="14"/>
      <c r="K82" s="14"/>
      <c r="L82" s="14"/>
      <c r="M82" s="14"/>
      <c r="N82" s="14"/>
    </row>
    <row r="83" spans="4:14" x14ac:dyDescent="0.25">
      <c r="D83" s="14"/>
      <c r="K83" s="14"/>
      <c r="L83" s="14"/>
      <c r="M83" s="14"/>
      <c r="N83" s="14"/>
    </row>
    <row r="84" spans="4:14" x14ac:dyDescent="0.25">
      <c r="D84" s="14"/>
      <c r="K84" s="14"/>
      <c r="L84" s="14"/>
      <c r="M84" s="14"/>
      <c r="N84" s="14"/>
    </row>
  </sheetData>
  <mergeCells count="2">
    <mergeCell ref="A17:B17"/>
    <mergeCell ref="L70:N70"/>
  </mergeCells>
  <conditionalFormatting sqref="A17">
    <cfRule type="dataBar" priority="4">
      <dataBar>
        <cfvo type="num" val="0"/>
        <cfvo type="num" val="1"/>
        <color theme="4" tint="0.39997558519241921"/>
      </dataBar>
      <extLst>
        <ext xmlns:x14="http://schemas.microsoft.com/office/spreadsheetml/2009/9/main" uri="{B025F937-C7B1-47D3-B67F-A62EFF666E3E}">
          <x14:id>{FA330583-0195-4BB0-A2B0-10AFFF4BDEF0}</x14:id>
        </ext>
      </extLst>
    </cfRule>
  </conditionalFormatting>
  <conditionalFormatting sqref="A17:B17">
    <cfRule type="containsText" dxfId="35" priority="5" operator="containsText" text="Mais de 100%">
      <formula>NOT(ISERROR(SEARCH("Mais de 100%",A17)))</formula>
    </cfRule>
  </conditionalFormatting>
  <conditionalFormatting sqref="J26:J31">
    <cfRule type="containsText" dxfId="34" priority="2" operator="containsText" text="Pagar">
      <formula>NOT(ISERROR(SEARCH("Pagar",J26)))</formula>
    </cfRule>
  </conditionalFormatting>
  <conditionalFormatting sqref="B14">
    <cfRule type="cellIs" dxfId="33" priority="1" operator="lessThan">
      <formula>0</formula>
    </cfRule>
  </conditionalFormatting>
  <pageMargins left="0.511811024" right="0.511811024" top="0.78740157499999996" bottom="0.78740157499999996" header="0.31496062000000002" footer="0.31496062000000002"/>
  <pageSetup paperSize="9" orientation="portrait" horizontalDpi="0" verticalDpi="0" r:id="rId1"/>
  <drawing r:id="rId2"/>
  <legacyDrawing r:id="rId3"/>
  <tableParts count="8">
    <tablePart r:id="rId4"/>
    <tablePart r:id="rId5"/>
    <tablePart r:id="rId6"/>
    <tablePart r:id="rId7"/>
    <tablePart r:id="rId8"/>
    <tablePart r:id="rId9"/>
    <tablePart r:id="rId10"/>
    <tablePart r:id="rId11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A330583-0195-4BB0-A2B0-10AFFF4BDEF0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A17</xm:sqref>
        </x14:conditionalFormatting>
        <x14:conditionalFormatting xmlns:xm="http://schemas.microsoft.com/office/excel/2006/main">
          <x14:cfRule type="containsText" priority="3" operator="containsText" id="{272D0C7D-B009-47A8-B95A-6230FC691331}">
            <xm:f>NOT(ISERROR(SEARCH(Pagar,J39)))</xm:f>
            <xm:f>Pagar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J39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A03038-FE95-4D0B-A885-344FBD5A1B2B}">
  <sheetPr codeName="Planilha9"/>
  <dimension ref="A1:XFC84"/>
  <sheetViews>
    <sheetView showGridLines="0" topLeftCell="A31" zoomScale="78" zoomScaleNormal="78" workbookViewId="0">
      <selection activeCell="F35" sqref="F35"/>
    </sheetView>
  </sheetViews>
  <sheetFormatPr defaultColWidth="0" defaultRowHeight="15" x14ac:dyDescent="0.25"/>
  <cols>
    <col min="1" max="1" width="22.42578125" customWidth="1"/>
    <col min="2" max="2" width="16.7109375" customWidth="1"/>
    <col min="3" max="3" width="14.85546875" customWidth="1"/>
    <col min="4" max="4" width="18.140625" customWidth="1"/>
    <col min="5" max="5" width="29.7109375" customWidth="1"/>
    <col min="6" max="6" width="17.140625" customWidth="1"/>
    <col min="7" max="7" width="26" customWidth="1"/>
    <col min="8" max="8" width="25" bestFit="1" customWidth="1"/>
    <col min="9" max="9" width="26.5703125" bestFit="1" customWidth="1"/>
    <col min="10" max="10" width="15.5703125" customWidth="1"/>
    <col min="11" max="11" width="12" customWidth="1"/>
    <col min="12" max="12" width="19.5703125" hidden="1" customWidth="1"/>
    <col min="13" max="13" width="16" hidden="1" customWidth="1"/>
    <col min="14" max="14" width="17.85546875" customWidth="1"/>
    <col min="16383" max="16383" width="1.7109375" hidden="1"/>
  </cols>
  <sheetData>
    <row r="1" spans="1:14" s="1" customFormat="1" ht="34.5" customHeight="1" x14ac:dyDescent="0.25">
      <c r="A1" s="12" t="s">
        <v>24</v>
      </c>
      <c r="B1" s="12"/>
      <c r="C1" s="12"/>
      <c r="D1" s="12"/>
      <c r="E1" s="12"/>
      <c r="F1" s="12"/>
      <c r="G1" s="12"/>
      <c r="H1" s="12"/>
      <c r="I1" s="12"/>
      <c r="J1" s="12"/>
      <c r="K1" s="12"/>
      <c r="L1" s="12"/>
      <c r="M1" s="12"/>
      <c r="N1" s="12"/>
    </row>
    <row r="2" spans="1:14" s="1" customFormat="1" ht="18" customHeight="1" x14ac:dyDescent="0.25">
      <c r="A2" s="12"/>
      <c r="B2" s="12"/>
      <c r="C2" s="12"/>
      <c r="D2" s="12"/>
      <c r="E2" s="12"/>
      <c r="F2" s="12"/>
      <c r="G2" s="12"/>
      <c r="H2" s="12"/>
      <c r="I2" s="12"/>
      <c r="J2" s="12"/>
      <c r="K2" s="12"/>
      <c r="L2" s="12"/>
      <c r="M2" s="12"/>
      <c r="N2" s="12"/>
    </row>
    <row r="3" spans="1:14" ht="21.75" customHeight="1" x14ac:dyDescent="0.25">
      <c r="C3" s="3"/>
    </row>
    <row r="4" spans="1:14" ht="21.75" customHeight="1" x14ac:dyDescent="0.3">
      <c r="A4" s="33" t="s">
        <v>45</v>
      </c>
      <c r="B4" s="37" t="s">
        <v>28</v>
      </c>
      <c r="C4" s="3"/>
    </row>
    <row r="5" spans="1:14" ht="15" customHeight="1" x14ac:dyDescent="0.25">
      <c r="A5" t="s">
        <v>25</v>
      </c>
      <c r="B5" s="6">
        <f>1800</f>
        <v>1800</v>
      </c>
      <c r="C5" s="3"/>
    </row>
    <row r="6" spans="1:14" ht="15" customHeight="1" x14ac:dyDescent="0.25">
      <c r="A6" t="s">
        <v>26</v>
      </c>
      <c r="B6" s="6"/>
      <c r="C6" s="3"/>
    </row>
    <row r="7" spans="1:14" ht="15" customHeight="1" x14ac:dyDescent="0.25">
      <c r="A7" t="s">
        <v>27</v>
      </c>
      <c r="B7" s="40">
        <f>B27</f>
        <v>0</v>
      </c>
      <c r="C7" s="3"/>
    </row>
    <row r="8" spans="1:14" ht="15" customHeight="1" x14ac:dyDescent="0.25">
      <c r="A8" t="s">
        <v>29</v>
      </c>
      <c r="B8" s="6"/>
      <c r="C8" s="3"/>
    </row>
    <row r="9" spans="1:14" ht="15" customHeight="1" x14ac:dyDescent="0.25">
      <c r="A9" s="24" t="s">
        <v>32</v>
      </c>
      <c r="B9" s="25">
        <f>SUM(B5:B8)</f>
        <v>1800</v>
      </c>
      <c r="C9" s="3"/>
    </row>
    <row r="10" spans="1:14" ht="15" customHeight="1" x14ac:dyDescent="0.25">
      <c r="C10" s="3"/>
    </row>
    <row r="11" spans="1:14" ht="17.25" customHeight="1" x14ac:dyDescent="0.3">
      <c r="A11" s="34" t="s">
        <v>46</v>
      </c>
      <c r="B11" s="38" t="s">
        <v>30</v>
      </c>
      <c r="C11" s="28"/>
    </row>
    <row r="12" spans="1:14" ht="15" customHeight="1" x14ac:dyDescent="0.25">
      <c r="A12" s="6" t="s">
        <v>34</v>
      </c>
      <c r="B12" s="13">
        <f>B5+B7</f>
        <v>1800</v>
      </c>
      <c r="C12" s="4"/>
    </row>
    <row r="13" spans="1:14" ht="15" customHeight="1" x14ac:dyDescent="0.25">
      <c r="A13" s="26" t="s">
        <v>31</v>
      </c>
      <c r="B13" s="27">
        <f>F32+F39+F49+B38+B47</f>
        <v>1597.3500000000001</v>
      </c>
      <c r="C13" s="4"/>
    </row>
    <row r="14" spans="1:14" ht="15" customHeight="1" x14ac:dyDescent="0.25">
      <c r="A14" s="25" t="s">
        <v>39</v>
      </c>
      <c r="B14" s="48">
        <f>B12-B13</f>
        <v>202.64999999999986</v>
      </c>
      <c r="C14" s="4"/>
    </row>
    <row r="15" spans="1:14" ht="15.75" thickBot="1" x14ac:dyDescent="0.3">
      <c r="C15" s="4"/>
    </row>
    <row r="16" spans="1:14" ht="15.75" x14ac:dyDescent="0.25">
      <c r="A16" s="31" t="s">
        <v>47</v>
      </c>
      <c r="B16" s="32"/>
      <c r="C16" s="29"/>
    </row>
    <row r="17" spans="1:10" ht="15.75" thickBot="1" x14ac:dyDescent="0.3">
      <c r="A17" s="117">
        <f>IF(B13&lt;B12,((B13*100/B12)/100),"Mais de 100% do ganho mensal")</f>
        <v>0.88741666666666663</v>
      </c>
      <c r="B17" s="118"/>
      <c r="C17" s="3"/>
    </row>
    <row r="18" spans="1:10" x14ac:dyDescent="0.25">
      <c r="C18" s="30"/>
    </row>
    <row r="19" spans="1:10" x14ac:dyDescent="0.25">
      <c r="C19" s="30"/>
    </row>
    <row r="20" spans="1:10" x14ac:dyDescent="0.25">
      <c r="C20" s="30"/>
    </row>
    <row r="21" spans="1:10" x14ac:dyDescent="0.25">
      <c r="C21" s="30"/>
    </row>
    <row r="22" spans="1:10" x14ac:dyDescent="0.25">
      <c r="C22" s="30"/>
    </row>
    <row r="23" spans="1:10" x14ac:dyDescent="0.25">
      <c r="C23" s="30"/>
      <c r="G23" s="7"/>
    </row>
    <row r="24" spans="1:10" x14ac:dyDescent="0.25">
      <c r="B24" t="s">
        <v>72</v>
      </c>
      <c r="C24" s="45"/>
      <c r="F24" t="s">
        <v>72</v>
      </c>
    </row>
    <row r="25" spans="1:10" ht="15.75" x14ac:dyDescent="0.25">
      <c r="A25" s="35" t="s">
        <v>27</v>
      </c>
      <c r="B25" s="8" t="s">
        <v>2</v>
      </c>
      <c r="C25" s="8" t="s">
        <v>13</v>
      </c>
      <c r="E25" s="65" t="s">
        <v>12</v>
      </c>
      <c r="F25" s="56" t="s">
        <v>2</v>
      </c>
      <c r="G25" s="56" t="s">
        <v>0</v>
      </c>
      <c r="H25" s="56" t="s">
        <v>1</v>
      </c>
      <c r="I25" s="56" t="s">
        <v>10</v>
      </c>
      <c r="J25" s="56" t="s">
        <v>3</v>
      </c>
    </row>
    <row r="26" spans="1:10" x14ac:dyDescent="0.25">
      <c r="A26" s="21"/>
      <c r="B26" s="73">
        <v>0</v>
      </c>
      <c r="C26" s="20"/>
      <c r="E26" s="53" t="s">
        <v>8</v>
      </c>
      <c r="F26" s="68">
        <v>526.20000000000005</v>
      </c>
      <c r="G26" s="66">
        <v>44326</v>
      </c>
      <c r="H26" s="66"/>
      <c r="I26" s="53" t="str">
        <f t="shared" ref="I26:I31" si="0">IF(H26="","Sem data",IF(H26-G26&lt;0,"Pago antes do vencimento",H26-G26))</f>
        <v>Sem data</v>
      </c>
      <c r="J26" s="53" t="str">
        <f t="shared" ref="J26" si="1">IF(I26:I31="Sem data","Pagar","Pago")</f>
        <v>Pagar</v>
      </c>
    </row>
    <row r="27" spans="1:10" x14ac:dyDescent="0.25">
      <c r="A27" s="47" t="s">
        <v>32</v>
      </c>
      <c r="B27" s="87">
        <f>SUM(Tabela74619273745[Valor])</f>
        <v>0</v>
      </c>
      <c r="E27" s="45" t="s">
        <v>4</v>
      </c>
      <c r="F27" s="68">
        <v>171</v>
      </c>
      <c r="G27" s="66">
        <v>44343</v>
      </c>
      <c r="H27" s="66"/>
      <c r="I27" s="53" t="str">
        <f>IF(H27="","Sem data",IF(H27-G27&lt;0,"Pago antes do vencimento",H27-G27))</f>
        <v>Sem data</v>
      </c>
      <c r="J27" s="53" t="str">
        <f>IF(I27:I32="Sem data","Pagar","Pago")</f>
        <v>Pagar</v>
      </c>
    </row>
    <row r="28" spans="1:10" x14ac:dyDescent="0.25">
      <c r="A28" s="47" t="s">
        <v>37</v>
      </c>
      <c r="B28" s="88">
        <f>AVERAGE(Tabela74619273745[Valor])</f>
        <v>0</v>
      </c>
      <c r="E28" s="53" t="s">
        <v>9</v>
      </c>
      <c r="F28" s="68">
        <v>255</v>
      </c>
      <c r="G28" s="66">
        <v>44325</v>
      </c>
      <c r="H28" s="66">
        <v>44325</v>
      </c>
      <c r="I28" s="53">
        <f t="shared" si="0"/>
        <v>0</v>
      </c>
      <c r="J28" s="53" t="str">
        <f>IF(I28:I33="Sem data","Pagar","Pago")</f>
        <v>Pago</v>
      </c>
    </row>
    <row r="29" spans="1:10" x14ac:dyDescent="0.25">
      <c r="E29" s="53" t="s">
        <v>6</v>
      </c>
      <c r="F29" s="68">
        <v>156</v>
      </c>
      <c r="G29" s="66">
        <v>44326</v>
      </c>
      <c r="H29" s="66">
        <v>44328</v>
      </c>
      <c r="I29" s="53">
        <f>IF(H29="","Sem data",IF(H29-G29&lt;0,"Pago antes do vencimento",H29-G29))</f>
        <v>2</v>
      </c>
      <c r="J29" s="53" t="str">
        <f>IF(I29:I34="Sem data","Pagar","Pago")</f>
        <v>Pago</v>
      </c>
    </row>
    <row r="30" spans="1:10" x14ac:dyDescent="0.25">
      <c r="E30" s="53" t="s">
        <v>5</v>
      </c>
      <c r="F30" s="68">
        <v>72</v>
      </c>
      <c r="G30" s="66">
        <v>44326</v>
      </c>
      <c r="H30" s="66">
        <v>44313</v>
      </c>
      <c r="I30" s="53" t="str">
        <f t="shared" si="0"/>
        <v>Pago antes do vencimento</v>
      </c>
      <c r="J30" s="53" t="str">
        <f>IF(I30:I35="Sem data","Pagar","Pago")</f>
        <v>Pago</v>
      </c>
    </row>
    <row r="31" spans="1:10" x14ac:dyDescent="0.25">
      <c r="E31" s="53" t="s">
        <v>33</v>
      </c>
      <c r="F31" s="68">
        <v>23.9</v>
      </c>
      <c r="G31" s="66">
        <v>44319</v>
      </c>
      <c r="H31" s="66">
        <v>44319</v>
      </c>
      <c r="I31" s="53">
        <f t="shared" si="0"/>
        <v>0</v>
      </c>
      <c r="J31" s="53" t="str">
        <f>IF(I31:I36="Sem data","Pagar","Pago")</f>
        <v>Pago</v>
      </c>
    </row>
    <row r="32" spans="1:10" x14ac:dyDescent="0.25">
      <c r="A32" s="3"/>
      <c r="B32" s="41"/>
      <c r="C32" s="3"/>
      <c r="E32" s="47" t="s">
        <v>32</v>
      </c>
      <c r="F32" s="88">
        <f>SUM(Tabela3210212939[Valor])</f>
        <v>1204.1000000000001</v>
      </c>
    </row>
    <row r="33" spans="1:10" x14ac:dyDescent="0.25">
      <c r="A33" s="3"/>
      <c r="B33" s="41"/>
      <c r="C33" s="3"/>
      <c r="E33" s="47" t="s">
        <v>36</v>
      </c>
      <c r="F33" s="88">
        <f>AVERAGE(Tabela3210212939[Valor])</f>
        <v>200.68333333333337</v>
      </c>
    </row>
    <row r="34" spans="1:10" x14ac:dyDescent="0.25">
      <c r="A34" s="3"/>
      <c r="B34" s="41"/>
      <c r="C34" s="2"/>
    </row>
    <row r="35" spans="1:10" ht="15.75" x14ac:dyDescent="0.25">
      <c r="A35" s="3"/>
      <c r="B35" s="3" t="s">
        <v>72</v>
      </c>
      <c r="C35" s="3"/>
      <c r="G35" s="46"/>
    </row>
    <row r="36" spans="1:10" s="3" customFormat="1" x14ac:dyDescent="0.25">
      <c r="A36" s="35" t="s">
        <v>42</v>
      </c>
      <c r="B36" s="8" t="s">
        <v>2</v>
      </c>
      <c r="C36" s="8" t="s">
        <v>13</v>
      </c>
      <c r="F36" s="3" t="s">
        <v>72</v>
      </c>
    </row>
    <row r="37" spans="1:10" s="3" customFormat="1" x14ac:dyDescent="0.25">
      <c r="A37" s="21"/>
      <c r="B37" s="73">
        <v>0</v>
      </c>
      <c r="C37" s="22"/>
      <c r="E37" s="16" t="s">
        <v>40</v>
      </c>
      <c r="F37" s="8" t="s">
        <v>2</v>
      </c>
      <c r="G37" s="8" t="s">
        <v>1</v>
      </c>
      <c r="H37" s="8" t="s">
        <v>11</v>
      </c>
      <c r="I37" s="8" t="s">
        <v>22</v>
      </c>
      <c r="J37" s="8" t="s">
        <v>3</v>
      </c>
    </row>
    <row r="38" spans="1:10" s="3" customFormat="1" x14ac:dyDescent="0.25">
      <c r="A38" s="47" t="s">
        <v>32</v>
      </c>
      <c r="B38" s="88">
        <f>SUM(Tabela717253443[Valor])</f>
        <v>0</v>
      </c>
      <c r="C38"/>
      <c r="E38"/>
      <c r="F38" s="68">
        <v>0</v>
      </c>
      <c r="G38" s="11"/>
      <c r="H38" s="7"/>
      <c r="I38" s="7"/>
      <c r="J38" s="7"/>
    </row>
    <row r="39" spans="1:10" x14ac:dyDescent="0.25">
      <c r="A39" s="47" t="s">
        <v>38</v>
      </c>
      <c r="B39" s="97">
        <f>AVERAGE(Tabela717253443[Valor])</f>
        <v>0</v>
      </c>
      <c r="E39" s="47" t="s">
        <v>32</v>
      </c>
      <c r="F39" s="88">
        <f>SUM(Tabela412233141[Valor])</f>
        <v>0</v>
      </c>
    </row>
    <row r="40" spans="1:10" x14ac:dyDescent="0.25">
      <c r="E40" s="47" t="s">
        <v>37</v>
      </c>
      <c r="F40" s="88">
        <f>AVERAGE(Tabela412233141[Valor])</f>
        <v>0</v>
      </c>
    </row>
    <row r="41" spans="1:10" x14ac:dyDescent="0.25">
      <c r="E41" s="44"/>
      <c r="F41" s="41"/>
    </row>
    <row r="42" spans="1:10" x14ac:dyDescent="0.25">
      <c r="A42" s="44"/>
      <c r="B42" s="41"/>
      <c r="C42" s="3"/>
      <c r="E42" s="44"/>
      <c r="F42" s="41"/>
    </row>
    <row r="43" spans="1:10" x14ac:dyDescent="0.25">
      <c r="E43" s="44"/>
      <c r="F43" s="41"/>
    </row>
    <row r="44" spans="1:10" x14ac:dyDescent="0.25">
      <c r="B44" t="s">
        <v>72</v>
      </c>
      <c r="F44" t="s">
        <v>72</v>
      </c>
    </row>
    <row r="45" spans="1:10" ht="15.75" x14ac:dyDescent="0.25">
      <c r="A45" s="36" t="s">
        <v>43</v>
      </c>
      <c r="B45" s="8" t="s">
        <v>2</v>
      </c>
      <c r="C45" s="8" t="s">
        <v>13</v>
      </c>
      <c r="E45" s="36" t="s">
        <v>7</v>
      </c>
      <c r="F45" s="8" t="s">
        <v>2</v>
      </c>
      <c r="G45" s="8" t="s">
        <v>14</v>
      </c>
      <c r="H45" s="8" t="s">
        <v>13</v>
      </c>
    </row>
    <row r="46" spans="1:10" x14ac:dyDescent="0.25">
      <c r="A46" s="21"/>
      <c r="B46" s="73">
        <v>0</v>
      </c>
      <c r="C46" s="22"/>
      <c r="E46" s="53" t="s">
        <v>15</v>
      </c>
      <c r="F46" s="68">
        <v>247.11</v>
      </c>
      <c r="G46" s="53">
        <v>38</v>
      </c>
      <c r="H46" s="66">
        <v>44323</v>
      </c>
    </row>
    <row r="47" spans="1:10" x14ac:dyDescent="0.25">
      <c r="A47" s="47" t="s">
        <v>32</v>
      </c>
      <c r="B47" s="87">
        <f>SUM(B46:B46)</f>
        <v>0</v>
      </c>
      <c r="E47" s="53" t="s">
        <v>35</v>
      </c>
      <c r="F47" s="68">
        <v>37</v>
      </c>
      <c r="G47" s="53">
        <v>9</v>
      </c>
      <c r="H47" s="66">
        <v>44324</v>
      </c>
    </row>
    <row r="48" spans="1:10" x14ac:dyDescent="0.25">
      <c r="A48" s="47" t="s">
        <v>38</v>
      </c>
      <c r="B48" s="87">
        <f>AVERAGE(Tabela7418263544[Valor])</f>
        <v>0</v>
      </c>
      <c r="E48" s="53" t="s">
        <v>19</v>
      </c>
      <c r="F48" s="68">
        <v>109.14</v>
      </c>
      <c r="G48" s="53">
        <v>18</v>
      </c>
      <c r="H48" s="66">
        <v>44328</v>
      </c>
    </row>
    <row r="49" spans="2:14" x14ac:dyDescent="0.25">
      <c r="E49" s="47" t="s">
        <v>32</v>
      </c>
      <c r="F49" s="97">
        <f>SUM(Tabela613243242[Valor])</f>
        <v>393.25</v>
      </c>
    </row>
    <row r="50" spans="2:14" x14ac:dyDescent="0.25">
      <c r="E50" s="47" t="s">
        <v>38</v>
      </c>
      <c r="F50" s="97">
        <f>AVERAGE(Tabela613243242[Valor])</f>
        <v>131.08333333333334</v>
      </c>
    </row>
    <row r="52" spans="2:14" x14ac:dyDescent="0.25">
      <c r="B52" s="14"/>
      <c r="C52" s="14"/>
    </row>
    <row r="53" spans="2:14" x14ac:dyDescent="0.25">
      <c r="B53" s="14"/>
      <c r="C53" s="14"/>
      <c r="I53" s="14"/>
      <c r="J53" s="14"/>
    </row>
    <row r="54" spans="2:14" ht="18.75" x14ac:dyDescent="0.3">
      <c r="B54" s="14"/>
      <c r="C54" s="14"/>
      <c r="I54" s="17"/>
      <c r="J54" s="14"/>
    </row>
    <row r="55" spans="2:14" x14ac:dyDescent="0.25">
      <c r="B55" s="14"/>
      <c r="C55" s="14"/>
      <c r="I55" s="5"/>
      <c r="J55" s="5"/>
    </row>
    <row r="56" spans="2:14" x14ac:dyDescent="0.25">
      <c r="B56" s="14"/>
      <c r="C56" s="14"/>
      <c r="I56" s="14"/>
      <c r="J56" s="14"/>
    </row>
    <row r="57" spans="2:14" x14ac:dyDescent="0.25">
      <c r="B57" s="14"/>
      <c r="C57" s="14"/>
      <c r="H57" s="14"/>
      <c r="I57" s="14"/>
      <c r="J57" s="14"/>
    </row>
    <row r="58" spans="2:14" ht="15" customHeight="1" x14ac:dyDescent="0.25">
      <c r="B58" s="14"/>
      <c r="C58" s="14"/>
      <c r="H58" s="14"/>
      <c r="I58" s="14"/>
      <c r="J58" s="14"/>
    </row>
    <row r="59" spans="2:14" ht="15" customHeight="1" x14ac:dyDescent="0.25">
      <c r="B59" s="14"/>
      <c r="C59" s="14"/>
      <c r="H59" s="14"/>
      <c r="I59" s="14"/>
      <c r="J59" s="14"/>
    </row>
    <row r="60" spans="2:14" ht="15" customHeight="1" x14ac:dyDescent="0.25">
      <c r="B60" s="14"/>
      <c r="C60" s="14"/>
      <c r="D60" s="14"/>
      <c r="H60" s="49"/>
      <c r="I60" s="14"/>
      <c r="J60" s="14"/>
      <c r="K60" s="14"/>
      <c r="L60" s="14"/>
      <c r="M60" s="14"/>
      <c r="N60" s="14"/>
    </row>
    <row r="61" spans="2:14" ht="13.5" customHeight="1" x14ac:dyDescent="0.25">
      <c r="B61" s="14"/>
      <c r="C61" s="14"/>
      <c r="D61" s="14"/>
      <c r="H61" s="14"/>
      <c r="I61" s="14"/>
      <c r="J61" s="14"/>
      <c r="K61" s="14"/>
      <c r="L61" s="14"/>
      <c r="M61" s="14"/>
      <c r="N61" s="14"/>
    </row>
    <row r="62" spans="2:14" ht="16.5" customHeight="1" x14ac:dyDescent="0.25">
      <c r="B62" s="14"/>
      <c r="C62" s="14"/>
      <c r="D62" s="14"/>
      <c r="H62" s="14"/>
      <c r="I62" s="14"/>
      <c r="J62" s="14"/>
      <c r="K62" s="14"/>
      <c r="L62" s="14"/>
      <c r="M62" s="14"/>
      <c r="N62" s="14"/>
    </row>
    <row r="63" spans="2:14" ht="15" customHeight="1" x14ac:dyDescent="0.25">
      <c r="B63" s="14"/>
      <c r="C63" s="14"/>
      <c r="D63" s="14"/>
      <c r="H63" s="14"/>
      <c r="I63" s="49"/>
      <c r="J63" s="49"/>
      <c r="K63" s="14"/>
      <c r="L63" s="14"/>
      <c r="M63" s="14"/>
      <c r="N63" s="14"/>
    </row>
    <row r="64" spans="2:14" ht="15" customHeight="1" x14ac:dyDescent="0.25">
      <c r="D64" s="14"/>
      <c r="H64" s="14"/>
      <c r="I64" s="14"/>
      <c r="J64" s="14"/>
      <c r="K64" s="14"/>
      <c r="L64" s="14"/>
      <c r="M64" s="14"/>
      <c r="N64" s="14"/>
    </row>
    <row r="65" spans="4:14" ht="16.5" customHeight="1" x14ac:dyDescent="0.25">
      <c r="D65" s="14"/>
      <c r="H65" s="14"/>
      <c r="I65" s="14"/>
      <c r="J65" s="14"/>
      <c r="K65" s="14"/>
      <c r="L65" s="14"/>
      <c r="M65" s="14"/>
      <c r="N65" s="14"/>
    </row>
    <row r="66" spans="4:14" ht="18" customHeight="1" x14ac:dyDescent="0.25">
      <c r="D66" s="14"/>
      <c r="H66" s="14"/>
      <c r="I66" s="14"/>
      <c r="J66" s="14"/>
      <c r="K66" s="14"/>
      <c r="L66" s="14"/>
      <c r="M66" s="14"/>
      <c r="N66" s="14"/>
    </row>
    <row r="67" spans="4:14" ht="15.75" customHeight="1" x14ac:dyDescent="0.25">
      <c r="D67" s="14"/>
      <c r="H67" s="14"/>
      <c r="I67" s="14"/>
      <c r="J67" s="14"/>
      <c r="K67" s="14"/>
      <c r="L67" s="14"/>
      <c r="M67" s="14"/>
      <c r="N67" s="14"/>
    </row>
    <row r="68" spans="4:14" ht="15" customHeight="1" x14ac:dyDescent="0.25">
      <c r="D68" s="14"/>
      <c r="H68" s="14"/>
      <c r="I68" s="14"/>
      <c r="J68" s="14"/>
      <c r="K68" s="14"/>
      <c r="L68" s="14"/>
      <c r="M68" s="14"/>
      <c r="N68" s="14"/>
    </row>
    <row r="69" spans="4:14" ht="15" customHeight="1" x14ac:dyDescent="0.25">
      <c r="D69" s="14"/>
      <c r="H69" s="14"/>
      <c r="I69" s="14"/>
      <c r="J69" s="14"/>
      <c r="K69" s="14"/>
      <c r="L69" s="14"/>
      <c r="M69" s="14"/>
      <c r="N69" s="14"/>
    </row>
    <row r="70" spans="4:14" ht="15" customHeight="1" x14ac:dyDescent="0.25">
      <c r="D70" s="49"/>
      <c r="H70" s="14"/>
      <c r="I70" s="14"/>
      <c r="J70" s="14"/>
      <c r="K70" s="14"/>
      <c r="L70" s="116"/>
      <c r="M70" s="116"/>
      <c r="N70" s="116"/>
    </row>
    <row r="71" spans="4:14" ht="15" customHeight="1" x14ac:dyDescent="0.25">
      <c r="D71" s="14"/>
      <c r="H71" s="14"/>
      <c r="I71" s="14"/>
      <c r="J71" s="14"/>
      <c r="K71" s="14"/>
      <c r="L71" s="14"/>
      <c r="M71" s="14"/>
      <c r="N71" s="14"/>
    </row>
    <row r="72" spans="4:14" ht="15" customHeight="1" x14ac:dyDescent="0.25">
      <c r="D72" s="14"/>
      <c r="E72" s="14"/>
      <c r="F72" s="14"/>
      <c r="G72" s="14"/>
      <c r="H72" s="14"/>
      <c r="I72" s="14"/>
      <c r="J72" s="14"/>
      <c r="K72" s="14"/>
      <c r="L72" s="14"/>
      <c r="M72" s="14"/>
      <c r="N72" s="14"/>
    </row>
    <row r="73" spans="4:14" ht="15" customHeight="1" x14ac:dyDescent="0.25">
      <c r="D73" s="14"/>
      <c r="E73" s="14"/>
      <c r="F73" s="14"/>
      <c r="G73" s="14"/>
      <c r="H73" s="14"/>
      <c r="I73" s="14"/>
      <c r="J73" s="14"/>
      <c r="K73" s="14"/>
      <c r="L73" s="14"/>
      <c r="M73" s="14"/>
      <c r="N73" s="14"/>
    </row>
    <row r="74" spans="4:14" ht="15" customHeight="1" x14ac:dyDescent="0.25">
      <c r="D74" s="14"/>
      <c r="E74" s="14"/>
      <c r="F74" s="14"/>
      <c r="G74" s="14"/>
      <c r="H74" s="14"/>
      <c r="I74" s="14"/>
      <c r="J74" s="14"/>
      <c r="K74" s="14"/>
      <c r="L74" s="14"/>
      <c r="M74" s="14"/>
      <c r="N74" s="14"/>
    </row>
    <row r="75" spans="4:14" ht="15" customHeight="1" x14ac:dyDescent="0.25">
      <c r="D75" s="14"/>
      <c r="I75" s="14"/>
      <c r="J75" s="14"/>
      <c r="K75" s="14"/>
      <c r="L75" s="14"/>
      <c r="M75" s="14"/>
      <c r="N75" s="14"/>
    </row>
    <row r="76" spans="4:14" ht="15" customHeight="1" x14ac:dyDescent="0.25">
      <c r="D76" s="14"/>
      <c r="I76" s="14"/>
      <c r="J76" s="14"/>
      <c r="K76" s="14"/>
      <c r="L76" s="14"/>
      <c r="M76" s="14"/>
      <c r="N76" s="14"/>
    </row>
    <row r="77" spans="4:14" ht="15" customHeight="1" x14ac:dyDescent="0.25">
      <c r="D77" s="14"/>
      <c r="I77" s="14"/>
      <c r="J77" s="14"/>
      <c r="K77" s="14"/>
      <c r="L77" s="14"/>
      <c r="M77" s="14"/>
      <c r="N77" s="14"/>
    </row>
    <row r="78" spans="4:14" ht="15" customHeight="1" x14ac:dyDescent="0.25">
      <c r="D78" s="14"/>
      <c r="K78" s="14"/>
      <c r="L78" s="14"/>
      <c r="M78" s="14"/>
      <c r="N78" s="14"/>
    </row>
    <row r="79" spans="4:14" ht="15" customHeight="1" x14ac:dyDescent="0.25">
      <c r="D79" s="14"/>
      <c r="K79" s="14"/>
      <c r="L79" s="14"/>
      <c r="M79" s="14"/>
      <c r="N79" s="14"/>
    </row>
    <row r="80" spans="4:14" ht="15" customHeight="1" x14ac:dyDescent="0.25">
      <c r="D80" s="14"/>
      <c r="K80" s="14"/>
      <c r="L80" s="14"/>
      <c r="M80" s="14"/>
      <c r="N80" s="14"/>
    </row>
    <row r="81" spans="4:14" ht="15" customHeight="1" x14ac:dyDescent="0.25">
      <c r="D81" s="14"/>
      <c r="K81" s="14"/>
      <c r="L81" s="14"/>
      <c r="M81" s="14"/>
      <c r="N81" s="14"/>
    </row>
    <row r="82" spans="4:14" x14ac:dyDescent="0.25">
      <c r="D82" s="14"/>
      <c r="K82" s="14"/>
      <c r="L82" s="14"/>
      <c r="M82" s="14"/>
      <c r="N82" s="14"/>
    </row>
    <row r="83" spans="4:14" x14ac:dyDescent="0.25">
      <c r="D83" s="14"/>
      <c r="K83" s="14"/>
      <c r="L83" s="14"/>
      <c r="M83" s="14"/>
      <c r="N83" s="14"/>
    </row>
    <row r="84" spans="4:14" x14ac:dyDescent="0.25">
      <c r="D84" s="14"/>
      <c r="K84" s="14"/>
      <c r="L84" s="14"/>
      <c r="M84" s="14"/>
      <c r="N84" s="14"/>
    </row>
  </sheetData>
  <mergeCells count="2">
    <mergeCell ref="A17:B17"/>
    <mergeCell ref="L70:N70"/>
  </mergeCells>
  <conditionalFormatting sqref="A17">
    <cfRule type="dataBar" priority="4">
      <dataBar>
        <cfvo type="num" val="0"/>
        <cfvo type="num" val="1"/>
        <color theme="4" tint="0.39997558519241921"/>
      </dataBar>
      <extLst>
        <ext xmlns:x14="http://schemas.microsoft.com/office/spreadsheetml/2009/9/main" uri="{B025F937-C7B1-47D3-B67F-A62EFF666E3E}">
          <x14:id>{299EFFB3-9247-436F-879C-E0981BA9A2BD}</x14:id>
        </ext>
      </extLst>
    </cfRule>
  </conditionalFormatting>
  <conditionalFormatting sqref="A17:B17">
    <cfRule type="containsText" dxfId="31" priority="5" operator="containsText" text="Mais de 100%">
      <formula>NOT(ISERROR(SEARCH("Mais de 100%",A17)))</formula>
    </cfRule>
  </conditionalFormatting>
  <conditionalFormatting sqref="J26:J31">
    <cfRule type="containsText" dxfId="30" priority="2" operator="containsText" text="Pagar">
      <formula>NOT(ISERROR(SEARCH("Pagar",J26)))</formula>
    </cfRule>
  </conditionalFormatting>
  <conditionalFormatting sqref="B14">
    <cfRule type="cellIs" dxfId="29" priority="1" operator="lessThan">
      <formula>0</formula>
    </cfRule>
  </conditionalFormatting>
  <pageMargins left="0.511811024" right="0.511811024" top="0.78740157499999996" bottom="0.78740157499999996" header="0.31496062000000002" footer="0.31496062000000002"/>
  <pageSetup paperSize="9" orientation="portrait" horizontalDpi="0" verticalDpi="0" r:id="rId1"/>
  <drawing r:id="rId2"/>
  <legacyDrawing r:id="rId3"/>
  <tableParts count="8">
    <tablePart r:id="rId4"/>
    <tablePart r:id="rId5"/>
    <tablePart r:id="rId6"/>
    <tablePart r:id="rId7"/>
    <tablePart r:id="rId8"/>
    <tablePart r:id="rId9"/>
    <tablePart r:id="rId10"/>
    <tablePart r:id="rId11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99EFFB3-9247-436F-879C-E0981BA9A2BD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A17</xm:sqref>
        </x14:conditionalFormatting>
        <x14:conditionalFormatting xmlns:xm="http://schemas.microsoft.com/office/excel/2006/main">
          <x14:cfRule type="containsText" priority="3" operator="containsText" id="{624BB1DE-3A77-414F-825F-13105CFA0900}">
            <xm:f>NOT(ISERROR(SEARCH(Pagar,J38)))</xm:f>
            <xm:f>Pagar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J38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123731-1AAB-417A-98B9-F4E2476AFA37}">
  <sheetPr codeName="Planilha10"/>
  <dimension ref="A1:XFC84"/>
  <sheetViews>
    <sheetView showGridLines="0" topLeftCell="A22" zoomScale="84" zoomScaleNormal="84" workbookViewId="0">
      <selection activeCell="D50" sqref="D50"/>
    </sheetView>
  </sheetViews>
  <sheetFormatPr defaultColWidth="0" defaultRowHeight="15" x14ac:dyDescent="0.25"/>
  <cols>
    <col min="1" max="1" width="22.42578125" customWidth="1"/>
    <col min="2" max="2" width="16.7109375" customWidth="1"/>
    <col min="3" max="3" width="14.85546875" customWidth="1"/>
    <col min="4" max="4" width="18.140625" customWidth="1"/>
    <col min="5" max="5" width="29.7109375" customWidth="1"/>
    <col min="6" max="6" width="17.140625" customWidth="1"/>
    <col min="7" max="7" width="26" customWidth="1"/>
    <col min="8" max="8" width="25" bestFit="1" customWidth="1"/>
    <col min="9" max="9" width="26.5703125" bestFit="1" customWidth="1"/>
    <col min="10" max="10" width="13" customWidth="1"/>
    <col min="11" max="11" width="12" customWidth="1"/>
    <col min="12" max="12" width="19.5703125" hidden="1" customWidth="1"/>
    <col min="13" max="13" width="16" hidden="1" customWidth="1"/>
    <col min="14" max="14" width="17.85546875" customWidth="1"/>
    <col min="16382" max="16382" width="1.7109375" hidden="1"/>
    <col min="16383" max="16383" width="7.28515625" hidden="1"/>
  </cols>
  <sheetData>
    <row r="1" spans="1:14" s="1" customFormat="1" ht="34.5" customHeight="1" x14ac:dyDescent="0.25">
      <c r="A1" s="12" t="s">
        <v>24</v>
      </c>
      <c r="B1" s="12"/>
      <c r="C1" s="12"/>
      <c r="D1" s="12"/>
      <c r="E1" s="12"/>
      <c r="F1" s="12"/>
      <c r="G1" s="12"/>
      <c r="H1" s="12"/>
      <c r="I1" s="12"/>
      <c r="J1" s="12"/>
      <c r="K1" s="12"/>
      <c r="L1" s="12"/>
      <c r="M1" s="12"/>
      <c r="N1" s="12"/>
    </row>
    <row r="2" spans="1:14" s="1" customFormat="1" ht="18" customHeight="1" x14ac:dyDescent="0.25">
      <c r="A2" s="12"/>
      <c r="B2" s="12"/>
      <c r="C2" s="12"/>
      <c r="D2" s="12"/>
      <c r="E2" s="12"/>
      <c r="F2" s="12"/>
      <c r="G2" s="12"/>
      <c r="H2" s="12"/>
      <c r="I2" s="12"/>
      <c r="J2" s="12"/>
      <c r="K2" s="12"/>
      <c r="L2" s="12"/>
      <c r="M2" s="12"/>
      <c r="N2" s="12"/>
    </row>
    <row r="3" spans="1:14" ht="21.75" customHeight="1" x14ac:dyDescent="0.25">
      <c r="C3" s="3"/>
    </row>
    <row r="4" spans="1:14" ht="21.75" customHeight="1" x14ac:dyDescent="0.3">
      <c r="A4" s="33" t="s">
        <v>45</v>
      </c>
      <c r="B4" s="37" t="s">
        <v>28</v>
      </c>
      <c r="C4" s="3"/>
    </row>
    <row r="5" spans="1:14" ht="15" customHeight="1" x14ac:dyDescent="0.25">
      <c r="A5" t="s">
        <v>25</v>
      </c>
      <c r="B5" s="6">
        <f>1800</f>
        <v>1800</v>
      </c>
      <c r="C5" s="3"/>
    </row>
    <row r="6" spans="1:14" ht="15" customHeight="1" x14ac:dyDescent="0.25">
      <c r="A6" t="s">
        <v>26</v>
      </c>
      <c r="B6" s="6"/>
      <c r="C6" s="3"/>
    </row>
    <row r="7" spans="1:14" ht="15" customHeight="1" x14ac:dyDescent="0.25">
      <c r="A7" t="s">
        <v>27</v>
      </c>
      <c r="B7" s="40">
        <f>B27</f>
        <v>0</v>
      </c>
      <c r="C7" s="3"/>
    </row>
    <row r="8" spans="1:14" ht="15" customHeight="1" x14ac:dyDescent="0.25">
      <c r="A8" t="s">
        <v>29</v>
      </c>
      <c r="B8" s="6"/>
      <c r="C8" s="3"/>
    </row>
    <row r="9" spans="1:14" ht="15" customHeight="1" x14ac:dyDescent="0.25">
      <c r="A9" s="24" t="s">
        <v>32</v>
      </c>
      <c r="B9" s="25">
        <f>SUM(B5:B8)</f>
        <v>1800</v>
      </c>
      <c r="C9" s="3"/>
    </row>
    <row r="10" spans="1:14" ht="15" customHeight="1" x14ac:dyDescent="0.25">
      <c r="C10" s="3"/>
    </row>
    <row r="11" spans="1:14" ht="17.25" customHeight="1" x14ac:dyDescent="0.3">
      <c r="A11" s="34" t="s">
        <v>46</v>
      </c>
      <c r="B11" s="38" t="s">
        <v>30</v>
      </c>
      <c r="C11" s="28"/>
    </row>
    <row r="12" spans="1:14" ht="15" customHeight="1" x14ac:dyDescent="0.25">
      <c r="A12" s="6" t="s">
        <v>34</v>
      </c>
      <c r="B12" s="13">
        <f>B5+B7</f>
        <v>1800</v>
      </c>
      <c r="C12" s="4"/>
    </row>
    <row r="13" spans="1:14" ht="15" customHeight="1" x14ac:dyDescent="0.25">
      <c r="A13" s="26" t="s">
        <v>31</v>
      </c>
      <c r="B13" s="27">
        <f>F32+F39+F53+B39+B47</f>
        <v>2057.8200000000002</v>
      </c>
      <c r="C13" s="4"/>
    </row>
    <row r="14" spans="1:14" ht="15" customHeight="1" x14ac:dyDescent="0.25">
      <c r="A14" s="25" t="s">
        <v>39</v>
      </c>
      <c r="B14" s="48">
        <f>B12-B13</f>
        <v>-257.82000000000016</v>
      </c>
      <c r="C14" s="4"/>
    </row>
    <row r="15" spans="1:14" ht="15.75" thickBot="1" x14ac:dyDescent="0.3">
      <c r="C15" s="4"/>
    </row>
    <row r="16" spans="1:14" ht="15.75" x14ac:dyDescent="0.25">
      <c r="A16" s="31" t="s">
        <v>47</v>
      </c>
      <c r="B16" s="32"/>
      <c r="C16" s="29"/>
    </row>
    <row r="17" spans="1:11" ht="15.75" thickBot="1" x14ac:dyDescent="0.3">
      <c r="A17" s="117" t="str">
        <f>IF(B13&lt;B12,((B13*100/B12)/100),"Mais de 100% do ganho mensal")</f>
        <v>Mais de 100% do ganho mensal</v>
      </c>
      <c r="B17" s="118"/>
      <c r="C17" s="3"/>
    </row>
    <row r="18" spans="1:11" x14ac:dyDescent="0.25">
      <c r="C18" s="30"/>
    </row>
    <row r="19" spans="1:11" x14ac:dyDescent="0.25">
      <c r="C19" s="30"/>
    </row>
    <row r="20" spans="1:11" x14ac:dyDescent="0.25">
      <c r="C20" s="30"/>
    </row>
    <row r="21" spans="1:11" x14ac:dyDescent="0.25">
      <c r="C21" s="30"/>
    </row>
    <row r="22" spans="1:11" x14ac:dyDescent="0.25">
      <c r="C22" s="30"/>
    </row>
    <row r="23" spans="1:11" x14ac:dyDescent="0.25">
      <c r="C23" s="30"/>
      <c r="G23" s="7"/>
    </row>
    <row r="24" spans="1:11" x14ac:dyDescent="0.25">
      <c r="B24" t="s">
        <v>72</v>
      </c>
      <c r="C24" s="45"/>
      <c r="F24" t="s">
        <v>72</v>
      </c>
    </row>
    <row r="25" spans="1:11" ht="15.75" x14ac:dyDescent="0.25">
      <c r="A25" s="35" t="s">
        <v>27</v>
      </c>
      <c r="B25" s="8" t="s">
        <v>2</v>
      </c>
      <c r="C25" s="8" t="s">
        <v>13</v>
      </c>
      <c r="E25" s="56" t="s">
        <v>12</v>
      </c>
      <c r="F25" s="56" t="s">
        <v>2</v>
      </c>
      <c r="G25" s="56" t="s">
        <v>0</v>
      </c>
      <c r="H25" s="56" t="s">
        <v>1</v>
      </c>
      <c r="I25" s="56" t="s">
        <v>10</v>
      </c>
      <c r="J25" s="56" t="s">
        <v>3</v>
      </c>
    </row>
    <row r="26" spans="1:11" x14ac:dyDescent="0.25">
      <c r="A26" s="21"/>
      <c r="B26" s="73">
        <v>0</v>
      </c>
      <c r="C26" s="20"/>
      <c r="E26" s="53" t="s">
        <v>8</v>
      </c>
      <c r="F26" s="68">
        <v>542</v>
      </c>
      <c r="G26" s="66">
        <v>44357</v>
      </c>
      <c r="H26" s="66">
        <v>44356</v>
      </c>
      <c r="I26" s="53" t="str">
        <f t="shared" ref="I26:I31" si="0">IF(H26="","Sem data",IF(H26-G26&lt;0,"Pago antes do vencimento",H26-G26))</f>
        <v>Pago antes do vencimento</v>
      </c>
      <c r="J26" s="53" t="str">
        <f t="shared" ref="J26" si="1">IF(I26:I31="Sem data","Pagar","Pago")</f>
        <v>Pago</v>
      </c>
    </row>
    <row r="27" spans="1:11" x14ac:dyDescent="0.25">
      <c r="A27" s="47" t="s">
        <v>32</v>
      </c>
      <c r="B27" s="87">
        <f>SUM(Tabela7461927374553[Valor])</f>
        <v>0</v>
      </c>
      <c r="E27" s="53" t="s">
        <v>4</v>
      </c>
      <c r="F27" s="68">
        <v>196</v>
      </c>
      <c r="G27" s="66">
        <v>44371</v>
      </c>
      <c r="H27" s="66">
        <v>44380</v>
      </c>
      <c r="I27" s="53">
        <f>IF(H27="","Sem data",IF(H27-G27&lt;0,"Pago antes do vencimento",H27-G27))</f>
        <v>9</v>
      </c>
      <c r="J27" s="53" t="str">
        <f>IF(I27:I32="Sem data","Pagar","Pago")</f>
        <v>Pago</v>
      </c>
    </row>
    <row r="28" spans="1:11" x14ac:dyDescent="0.25">
      <c r="A28" s="47" t="s">
        <v>37</v>
      </c>
      <c r="B28" s="78">
        <f>AVERAGE(Tabela7461927374553[Valor])</f>
        <v>0</v>
      </c>
      <c r="E28" s="53" t="s">
        <v>9</v>
      </c>
      <c r="F28" s="68">
        <v>322.26</v>
      </c>
      <c r="G28" s="66">
        <v>44356</v>
      </c>
      <c r="H28" s="66">
        <v>44355</v>
      </c>
      <c r="I28" s="53" t="str">
        <f t="shared" si="0"/>
        <v>Pago antes do vencimento</v>
      </c>
      <c r="J28" s="53" t="str">
        <f>IF(I28:I33="Sem data","Pagar","Pago")</f>
        <v>Pago</v>
      </c>
    </row>
    <row r="29" spans="1:11" x14ac:dyDescent="0.25">
      <c r="E29" s="53" t="s">
        <v>6</v>
      </c>
      <c r="F29" s="68">
        <v>155.19</v>
      </c>
      <c r="G29" s="66">
        <v>44357</v>
      </c>
      <c r="H29" s="66">
        <v>44369</v>
      </c>
      <c r="I29" s="53">
        <f>IF(H29="","Sem data",IF(H29-G29&lt;0,"Pago antes do vencimento",H29-G29))</f>
        <v>12</v>
      </c>
      <c r="J29" s="53" t="str">
        <f>IF(I29:I34="Sem data","Pagar","Pago")</f>
        <v>Pago</v>
      </c>
    </row>
    <row r="30" spans="1:11" x14ac:dyDescent="0.25">
      <c r="E30" s="53" t="s">
        <v>5</v>
      </c>
      <c r="F30" s="68">
        <v>93</v>
      </c>
      <c r="G30" s="66">
        <v>44357</v>
      </c>
      <c r="H30" s="66">
        <v>44352</v>
      </c>
      <c r="I30" s="53" t="str">
        <f t="shared" si="0"/>
        <v>Pago antes do vencimento</v>
      </c>
      <c r="J30" s="53" t="str">
        <f>IF(I30:I35="Sem data","Pagar","Pago")</f>
        <v>Pago</v>
      </c>
    </row>
    <row r="31" spans="1:11" x14ac:dyDescent="0.25">
      <c r="E31" s="53" t="s">
        <v>33</v>
      </c>
      <c r="F31" s="68">
        <v>64</v>
      </c>
      <c r="G31" s="66">
        <v>44348</v>
      </c>
      <c r="H31" s="67">
        <v>44348</v>
      </c>
      <c r="I31" s="53">
        <f t="shared" si="0"/>
        <v>0</v>
      </c>
      <c r="J31" s="53" t="str">
        <f>IF(I31:I36="Sem data","Pagar","Pago")</f>
        <v>Pago</v>
      </c>
      <c r="K31" t="s">
        <v>77</v>
      </c>
    </row>
    <row r="32" spans="1:11" x14ac:dyDescent="0.25">
      <c r="A32" s="3"/>
      <c r="B32" s="41"/>
      <c r="C32" s="3"/>
      <c r="E32" s="47" t="s">
        <v>32</v>
      </c>
      <c r="F32" s="97">
        <f>SUM(Tabela321021293947[Valor])</f>
        <v>1372.45</v>
      </c>
    </row>
    <row r="33" spans="1:10" x14ac:dyDescent="0.25">
      <c r="A33" s="3"/>
      <c r="B33" s="41"/>
      <c r="C33" s="3"/>
      <c r="E33" s="47" t="s">
        <v>36</v>
      </c>
      <c r="F33" s="97">
        <f>AVERAGE(Tabela321021293947[Valor])</f>
        <v>228.74166666666667</v>
      </c>
    </row>
    <row r="34" spans="1:10" x14ac:dyDescent="0.25">
      <c r="A34" s="3"/>
      <c r="B34" s="41"/>
      <c r="C34" s="2"/>
    </row>
    <row r="35" spans="1:10" ht="15.75" x14ac:dyDescent="0.25">
      <c r="G35" s="46"/>
    </row>
    <row r="36" spans="1:10" s="3" customFormat="1" x14ac:dyDescent="0.25">
      <c r="B36" s="3" t="s">
        <v>72</v>
      </c>
      <c r="F36" s="3" t="s">
        <v>72</v>
      </c>
    </row>
    <row r="37" spans="1:10" s="3" customFormat="1" x14ac:dyDescent="0.25">
      <c r="A37" s="35" t="s">
        <v>42</v>
      </c>
      <c r="B37" s="8" t="s">
        <v>2</v>
      </c>
      <c r="C37" s="8" t="s">
        <v>13</v>
      </c>
      <c r="E37" s="16" t="s">
        <v>40</v>
      </c>
      <c r="F37" s="8" t="s">
        <v>2</v>
      </c>
      <c r="G37" s="8" t="s">
        <v>1</v>
      </c>
      <c r="H37" s="8" t="s">
        <v>11</v>
      </c>
      <c r="I37" s="8" t="s">
        <v>22</v>
      </c>
      <c r="J37" s="8" t="s">
        <v>3</v>
      </c>
    </row>
    <row r="38" spans="1:10" s="3" customFormat="1" x14ac:dyDescent="0.25">
      <c r="A38" s="21"/>
      <c r="B38" s="73">
        <v>0</v>
      </c>
      <c r="C38" s="22"/>
      <c r="E38" s="53"/>
      <c r="F38" s="68">
        <v>0</v>
      </c>
      <c r="G38" s="66"/>
      <c r="H38" s="53"/>
      <c r="I38" s="53" t="s">
        <v>21</v>
      </c>
      <c r="J38" s="53" t="s">
        <v>20</v>
      </c>
    </row>
    <row r="39" spans="1:10" x14ac:dyDescent="0.25">
      <c r="A39" s="47" t="s">
        <v>32</v>
      </c>
      <c r="B39" s="88">
        <f>SUM(Tabela71725344351[Valor])</f>
        <v>0</v>
      </c>
      <c r="E39" s="47" t="s">
        <v>32</v>
      </c>
      <c r="F39" s="15">
        <f>SUM(Tabela41223314149[Valor])</f>
        <v>0</v>
      </c>
    </row>
    <row r="40" spans="1:10" x14ac:dyDescent="0.25">
      <c r="A40" s="47" t="s">
        <v>38</v>
      </c>
      <c r="B40" s="78">
        <f>AVERAGE(Tabela71725344351[Valor])</f>
        <v>0</v>
      </c>
      <c r="E40" s="47" t="s">
        <v>37</v>
      </c>
      <c r="F40" s="15">
        <f>AVERAGE(Tabela41223314149[Valor])</f>
        <v>0</v>
      </c>
    </row>
    <row r="41" spans="1:10" x14ac:dyDescent="0.25">
      <c r="E41" s="44"/>
      <c r="F41" s="41"/>
    </row>
    <row r="42" spans="1:10" x14ac:dyDescent="0.25">
      <c r="A42" s="44"/>
      <c r="B42" s="41"/>
      <c r="C42" s="3"/>
      <c r="E42" s="44"/>
      <c r="F42" s="41"/>
    </row>
    <row r="43" spans="1:10" x14ac:dyDescent="0.25">
      <c r="E43" s="44"/>
      <c r="F43" s="41"/>
    </row>
    <row r="44" spans="1:10" x14ac:dyDescent="0.25">
      <c r="B44" t="s">
        <v>72</v>
      </c>
      <c r="F44" t="s">
        <v>72</v>
      </c>
    </row>
    <row r="45" spans="1:10" ht="15.75" x14ac:dyDescent="0.25">
      <c r="A45" s="36" t="s">
        <v>43</v>
      </c>
      <c r="B45" s="8" t="s">
        <v>2</v>
      </c>
      <c r="C45" s="8" t="s">
        <v>13</v>
      </c>
      <c r="E45" s="36" t="s">
        <v>7</v>
      </c>
      <c r="F45" s="8" t="s">
        <v>2</v>
      </c>
      <c r="G45" s="8" t="s">
        <v>14</v>
      </c>
      <c r="H45" s="8" t="s">
        <v>13</v>
      </c>
    </row>
    <row r="46" spans="1:10" x14ac:dyDescent="0.25">
      <c r="A46" s="21"/>
      <c r="B46" s="73">
        <v>0</v>
      </c>
      <c r="C46" s="22"/>
      <c r="E46" s="53" t="s">
        <v>15</v>
      </c>
      <c r="F46" s="69">
        <v>244.44</v>
      </c>
      <c r="G46" s="53">
        <v>44</v>
      </c>
      <c r="H46" s="66">
        <v>44350</v>
      </c>
    </row>
    <row r="47" spans="1:10" x14ac:dyDescent="0.25">
      <c r="A47" s="47" t="s">
        <v>32</v>
      </c>
      <c r="B47" s="98">
        <f>SUM(B46:B46)</f>
        <v>0</v>
      </c>
      <c r="E47" s="53" t="s">
        <v>35</v>
      </c>
      <c r="F47" s="69">
        <v>19.05</v>
      </c>
      <c r="G47" s="53">
        <v>4</v>
      </c>
      <c r="H47" s="66">
        <v>44360</v>
      </c>
    </row>
    <row r="48" spans="1:10" x14ac:dyDescent="0.25">
      <c r="A48" s="47" t="s">
        <v>38</v>
      </c>
      <c r="B48" s="95">
        <f>AVERAGE(Tabela741826354452[Valor])</f>
        <v>0</v>
      </c>
      <c r="E48" s="53" t="s">
        <v>35</v>
      </c>
      <c r="F48" s="69">
        <v>24.5</v>
      </c>
      <c r="G48" s="53">
        <v>11</v>
      </c>
      <c r="H48" s="66">
        <v>44363</v>
      </c>
    </row>
    <row r="49" spans="2:14" x14ac:dyDescent="0.25">
      <c r="E49" s="53" t="s">
        <v>19</v>
      </c>
      <c r="F49" s="69">
        <v>189.82</v>
      </c>
      <c r="G49" s="53">
        <v>34</v>
      </c>
      <c r="H49" s="66">
        <v>44366</v>
      </c>
    </row>
    <row r="50" spans="2:14" x14ac:dyDescent="0.25">
      <c r="E50" s="53" t="s">
        <v>15</v>
      </c>
      <c r="F50" s="69">
        <v>46.38</v>
      </c>
      <c r="G50" s="53">
        <v>8</v>
      </c>
      <c r="H50" s="66">
        <v>44368</v>
      </c>
    </row>
    <row r="51" spans="2:14" x14ac:dyDescent="0.25">
      <c r="E51" s="53" t="s">
        <v>19</v>
      </c>
      <c r="F51" s="69">
        <v>18.29</v>
      </c>
      <c r="G51" s="53">
        <v>3</v>
      </c>
      <c r="H51" s="66">
        <v>44369</v>
      </c>
    </row>
    <row r="52" spans="2:14" x14ac:dyDescent="0.25">
      <c r="B52" s="14"/>
      <c r="C52" s="14"/>
      <c r="E52" s="53" t="s">
        <v>19</v>
      </c>
      <c r="F52" s="69">
        <v>142.88999999999999</v>
      </c>
      <c r="G52" s="53">
        <v>25</v>
      </c>
      <c r="H52" s="66">
        <v>44376</v>
      </c>
    </row>
    <row r="53" spans="2:14" x14ac:dyDescent="0.25">
      <c r="B53" s="14"/>
      <c r="C53" s="14"/>
      <c r="E53" s="47" t="s">
        <v>32</v>
      </c>
      <c r="F53" s="15">
        <f>SUM(Tabela61324324250[Valor])</f>
        <v>685.37</v>
      </c>
      <c r="I53" s="14"/>
      <c r="J53" s="14"/>
    </row>
    <row r="54" spans="2:14" ht="18.75" x14ac:dyDescent="0.3">
      <c r="B54" s="14"/>
      <c r="C54" s="14"/>
      <c r="E54" s="47" t="s">
        <v>38</v>
      </c>
      <c r="F54" s="15">
        <f>AVERAGE(Tabela61324324250[Valor])</f>
        <v>97.91</v>
      </c>
      <c r="I54" s="17"/>
      <c r="J54" s="14"/>
    </row>
    <row r="55" spans="2:14" x14ac:dyDescent="0.25">
      <c r="B55" s="14"/>
      <c r="C55" s="14"/>
      <c r="I55" s="5"/>
      <c r="J55" s="5"/>
    </row>
    <row r="56" spans="2:14" x14ac:dyDescent="0.25">
      <c r="B56" s="14"/>
      <c r="C56" s="14"/>
      <c r="I56" s="14"/>
      <c r="J56" s="14"/>
    </row>
    <row r="57" spans="2:14" x14ac:dyDescent="0.25">
      <c r="B57" s="14"/>
      <c r="C57" s="14"/>
      <c r="I57" s="14"/>
      <c r="J57" s="14"/>
    </row>
    <row r="58" spans="2:14" ht="15" customHeight="1" x14ac:dyDescent="0.25">
      <c r="B58" s="14"/>
      <c r="C58" s="14"/>
      <c r="I58" s="14"/>
      <c r="J58" s="14"/>
    </row>
    <row r="59" spans="2:14" ht="15" customHeight="1" x14ac:dyDescent="0.25">
      <c r="B59" s="14"/>
      <c r="C59" s="14"/>
      <c r="I59" s="14"/>
      <c r="J59" s="14"/>
    </row>
    <row r="60" spans="2:14" ht="15" customHeight="1" x14ac:dyDescent="0.25">
      <c r="B60" s="14"/>
      <c r="C60" s="14"/>
      <c r="D60" s="14"/>
      <c r="I60" s="14"/>
      <c r="J60" s="14"/>
      <c r="K60" s="14"/>
      <c r="L60" s="14"/>
      <c r="M60" s="14"/>
      <c r="N60" s="14"/>
    </row>
    <row r="61" spans="2:14" ht="13.5" customHeight="1" x14ac:dyDescent="0.25">
      <c r="B61" s="14"/>
      <c r="C61" s="14"/>
      <c r="D61" s="14"/>
      <c r="H61" s="14"/>
      <c r="I61" s="14"/>
      <c r="J61" s="14"/>
      <c r="K61" s="14"/>
      <c r="L61" s="14"/>
      <c r="M61" s="14"/>
      <c r="N61" s="14"/>
    </row>
    <row r="62" spans="2:14" ht="16.5" customHeight="1" x14ac:dyDescent="0.25">
      <c r="B62" s="14"/>
      <c r="C62" s="14"/>
      <c r="D62" s="14"/>
      <c r="H62" s="14"/>
      <c r="I62" s="14"/>
      <c r="J62" s="14"/>
      <c r="K62" s="14"/>
      <c r="L62" s="14"/>
      <c r="M62" s="14"/>
      <c r="N62" s="14"/>
    </row>
    <row r="63" spans="2:14" ht="15" customHeight="1" x14ac:dyDescent="0.25">
      <c r="B63" s="14"/>
      <c r="C63" s="14"/>
      <c r="D63" s="14"/>
      <c r="H63" s="14"/>
      <c r="I63" s="49"/>
      <c r="J63" s="49"/>
      <c r="K63" s="14"/>
      <c r="L63" s="14"/>
      <c r="M63" s="14"/>
      <c r="N63" s="14"/>
    </row>
    <row r="64" spans="2:14" ht="15" customHeight="1" x14ac:dyDescent="0.25">
      <c r="D64" s="14"/>
      <c r="H64" s="49"/>
      <c r="I64" s="14"/>
      <c r="J64" s="14"/>
      <c r="K64" s="14"/>
      <c r="L64" s="14"/>
      <c r="M64" s="14"/>
      <c r="N64" s="14"/>
    </row>
    <row r="65" spans="4:14" ht="16.5" customHeight="1" x14ac:dyDescent="0.25">
      <c r="D65" s="14"/>
      <c r="H65" s="14"/>
      <c r="I65" s="14"/>
      <c r="J65" s="14"/>
      <c r="K65" s="14"/>
      <c r="L65" s="14"/>
      <c r="M65" s="14"/>
      <c r="N65" s="14"/>
    </row>
    <row r="66" spans="4:14" ht="18" customHeight="1" x14ac:dyDescent="0.25">
      <c r="D66" s="14"/>
      <c r="H66" s="14"/>
      <c r="I66" s="14"/>
      <c r="J66" s="14"/>
      <c r="K66" s="14"/>
      <c r="L66" s="14"/>
      <c r="M66" s="14"/>
      <c r="N66" s="14"/>
    </row>
    <row r="67" spans="4:14" ht="15.75" customHeight="1" x14ac:dyDescent="0.25">
      <c r="D67" s="14"/>
      <c r="H67" s="14"/>
      <c r="I67" s="14"/>
      <c r="J67" s="14"/>
      <c r="K67" s="14"/>
      <c r="L67" s="14"/>
      <c r="M67" s="14"/>
      <c r="N67" s="14"/>
    </row>
    <row r="68" spans="4:14" ht="15" customHeight="1" x14ac:dyDescent="0.25">
      <c r="D68" s="14"/>
      <c r="H68" s="14"/>
      <c r="I68" s="14"/>
      <c r="J68" s="14"/>
      <c r="K68" s="14"/>
      <c r="L68" s="14"/>
      <c r="M68" s="14"/>
      <c r="N68" s="14"/>
    </row>
    <row r="69" spans="4:14" ht="15" customHeight="1" x14ac:dyDescent="0.25">
      <c r="D69" s="14"/>
      <c r="H69" s="14"/>
      <c r="I69" s="14"/>
      <c r="J69" s="14"/>
      <c r="K69" s="14"/>
      <c r="L69" s="14"/>
      <c r="M69" s="14"/>
      <c r="N69" s="14"/>
    </row>
    <row r="70" spans="4:14" ht="15" customHeight="1" x14ac:dyDescent="0.25">
      <c r="D70" s="49"/>
      <c r="H70" s="14"/>
      <c r="I70" s="14"/>
      <c r="J70" s="14"/>
      <c r="K70" s="14"/>
      <c r="L70" s="116"/>
      <c r="M70" s="116"/>
      <c r="N70" s="116"/>
    </row>
    <row r="71" spans="4:14" ht="15" customHeight="1" x14ac:dyDescent="0.25">
      <c r="D71" s="14"/>
      <c r="H71" s="14"/>
      <c r="I71" s="14"/>
      <c r="J71" s="14"/>
      <c r="K71" s="14"/>
      <c r="L71" s="14"/>
      <c r="M71" s="14"/>
      <c r="N71" s="14"/>
    </row>
    <row r="72" spans="4:14" ht="15" customHeight="1" x14ac:dyDescent="0.25">
      <c r="D72" s="14"/>
      <c r="H72" s="14"/>
      <c r="I72" s="14"/>
      <c r="J72" s="14"/>
      <c r="K72" s="14"/>
      <c r="L72" s="14"/>
      <c r="M72" s="14"/>
      <c r="N72" s="14"/>
    </row>
    <row r="73" spans="4:14" ht="15" customHeight="1" x14ac:dyDescent="0.25">
      <c r="D73" s="14"/>
      <c r="H73" s="14"/>
      <c r="I73" s="14"/>
      <c r="J73" s="14"/>
      <c r="K73" s="14"/>
      <c r="L73" s="14"/>
      <c r="M73" s="14"/>
      <c r="N73" s="14"/>
    </row>
    <row r="74" spans="4:14" ht="15" customHeight="1" x14ac:dyDescent="0.25">
      <c r="D74" s="14"/>
      <c r="H74" s="14"/>
      <c r="I74" s="14"/>
      <c r="J74" s="14"/>
      <c r="K74" s="14"/>
      <c r="L74" s="14"/>
      <c r="M74" s="14"/>
      <c r="N74" s="14"/>
    </row>
    <row r="75" spans="4:14" ht="15" customHeight="1" x14ac:dyDescent="0.25">
      <c r="D75" s="14"/>
      <c r="H75" s="14"/>
      <c r="I75" s="14"/>
      <c r="J75" s="14"/>
      <c r="K75" s="14"/>
      <c r="L75" s="14"/>
      <c r="M75" s="14"/>
      <c r="N75" s="14"/>
    </row>
    <row r="76" spans="4:14" ht="15" customHeight="1" x14ac:dyDescent="0.25">
      <c r="D76" s="14"/>
      <c r="E76" s="14"/>
      <c r="F76" s="14"/>
      <c r="G76" s="14"/>
      <c r="H76" s="14"/>
      <c r="I76" s="14"/>
      <c r="J76" s="14"/>
      <c r="K76" s="14"/>
      <c r="L76" s="14"/>
      <c r="M76" s="14"/>
      <c r="N76" s="14"/>
    </row>
    <row r="77" spans="4:14" ht="15" customHeight="1" x14ac:dyDescent="0.25">
      <c r="D77" s="14"/>
      <c r="E77" s="14"/>
      <c r="F77" s="14"/>
      <c r="G77" s="14"/>
      <c r="H77" s="14"/>
      <c r="I77" s="14"/>
      <c r="J77" s="14"/>
      <c r="K77" s="14"/>
      <c r="L77" s="14"/>
      <c r="M77" s="14"/>
      <c r="N77" s="14"/>
    </row>
    <row r="78" spans="4:14" ht="15" customHeight="1" x14ac:dyDescent="0.25">
      <c r="D78" s="14"/>
      <c r="E78" s="14"/>
      <c r="F78" s="14"/>
      <c r="G78" s="14"/>
      <c r="H78" s="14"/>
      <c r="K78" s="14"/>
      <c r="L78" s="14"/>
      <c r="M78" s="14"/>
      <c r="N78" s="14"/>
    </row>
    <row r="79" spans="4:14" ht="15" customHeight="1" x14ac:dyDescent="0.25">
      <c r="D79" s="14"/>
      <c r="K79" s="14"/>
      <c r="L79" s="14"/>
      <c r="M79" s="14"/>
      <c r="N79" s="14"/>
    </row>
    <row r="80" spans="4:14" ht="15" customHeight="1" x14ac:dyDescent="0.25">
      <c r="D80" s="14"/>
      <c r="K80" s="14"/>
      <c r="L80" s="14"/>
      <c r="M80" s="14"/>
      <c r="N80" s="14"/>
    </row>
    <row r="81" spans="4:14" ht="15" customHeight="1" x14ac:dyDescent="0.25">
      <c r="D81" s="14"/>
      <c r="K81" s="14"/>
      <c r="L81" s="14"/>
      <c r="M81" s="14"/>
      <c r="N81" s="14"/>
    </row>
    <row r="82" spans="4:14" x14ac:dyDescent="0.25">
      <c r="D82" s="14"/>
      <c r="K82" s="14"/>
      <c r="L82" s="14"/>
      <c r="M82" s="14"/>
      <c r="N82" s="14"/>
    </row>
    <row r="83" spans="4:14" x14ac:dyDescent="0.25">
      <c r="D83" s="14"/>
      <c r="K83" s="14"/>
      <c r="L83" s="14"/>
      <c r="M83" s="14"/>
      <c r="N83" s="14"/>
    </row>
    <row r="84" spans="4:14" x14ac:dyDescent="0.25">
      <c r="D84" s="14"/>
      <c r="K84" s="14"/>
      <c r="L84" s="14"/>
      <c r="M84" s="14"/>
      <c r="N84" s="14"/>
    </row>
  </sheetData>
  <mergeCells count="2">
    <mergeCell ref="A17:B17"/>
    <mergeCell ref="L70:N70"/>
  </mergeCells>
  <conditionalFormatting sqref="A17">
    <cfRule type="dataBar" priority="4">
      <dataBar>
        <cfvo type="num" val="0"/>
        <cfvo type="num" val="1"/>
        <color theme="4" tint="0.39997558519241921"/>
      </dataBar>
      <extLst>
        <ext xmlns:x14="http://schemas.microsoft.com/office/spreadsheetml/2009/9/main" uri="{B025F937-C7B1-47D3-B67F-A62EFF666E3E}">
          <x14:id>{8D0C2245-8291-4407-B6C2-DACBB2E2FF72}</x14:id>
        </ext>
      </extLst>
    </cfRule>
  </conditionalFormatting>
  <conditionalFormatting sqref="A17:B17">
    <cfRule type="containsText" dxfId="27" priority="5" operator="containsText" text="Mais de 100%">
      <formula>NOT(ISERROR(SEARCH("Mais de 100%",A17)))</formula>
    </cfRule>
  </conditionalFormatting>
  <conditionalFormatting sqref="J26:J31">
    <cfRule type="containsText" dxfId="26" priority="2" operator="containsText" text="Pagar">
      <formula>NOT(ISERROR(SEARCH("Pagar",J26)))</formula>
    </cfRule>
  </conditionalFormatting>
  <conditionalFormatting sqref="B14">
    <cfRule type="cellIs" dxfId="25" priority="1" operator="lessThan">
      <formula>0</formula>
    </cfRule>
  </conditionalFormatting>
  <pageMargins left="0.511811024" right="0.511811024" top="0.78740157499999996" bottom="0.78740157499999996" header="0.31496062000000002" footer="0.31496062000000002"/>
  <pageSetup paperSize="9" orientation="portrait" horizontalDpi="0" verticalDpi="0" r:id="rId1"/>
  <drawing r:id="rId2"/>
  <legacyDrawing r:id="rId3"/>
  <tableParts count="8">
    <tablePart r:id="rId4"/>
    <tablePart r:id="rId5"/>
    <tablePart r:id="rId6"/>
    <tablePart r:id="rId7"/>
    <tablePart r:id="rId8"/>
    <tablePart r:id="rId9"/>
    <tablePart r:id="rId10"/>
    <tablePart r:id="rId11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D0C2245-8291-4407-B6C2-DACBB2E2FF72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A17</xm:sqref>
        </x14:conditionalFormatting>
        <x14:conditionalFormatting xmlns:xm="http://schemas.microsoft.com/office/excel/2006/main">
          <x14:cfRule type="containsText" priority="3" operator="containsText" id="{409025D1-040D-42A9-968C-7F44000F6506}">
            <xm:f>NOT(ISERROR(SEARCH(Pagar,J38)))</xm:f>
            <xm:f>Pagar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J38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455995-7D64-4020-87C9-54756ED6ED9C}">
  <sheetPr codeName="Planilha11"/>
  <dimension ref="A1:XFC84"/>
  <sheetViews>
    <sheetView showGridLines="0" topLeftCell="A34" zoomScale="80" zoomScaleNormal="80" workbookViewId="0">
      <selection activeCell="C28" sqref="C28"/>
    </sheetView>
  </sheetViews>
  <sheetFormatPr defaultColWidth="0" defaultRowHeight="15" x14ac:dyDescent="0.25"/>
  <cols>
    <col min="1" max="1" width="22.42578125" customWidth="1"/>
    <col min="2" max="2" width="16.7109375" customWidth="1"/>
    <col min="3" max="3" width="14.85546875" customWidth="1"/>
    <col min="4" max="4" width="18.140625" customWidth="1"/>
    <col min="5" max="5" width="29.7109375" customWidth="1"/>
    <col min="6" max="6" width="18.42578125" customWidth="1"/>
    <col min="7" max="7" width="26" customWidth="1"/>
    <col min="8" max="8" width="27.140625" bestFit="1" customWidth="1"/>
    <col min="9" max="9" width="26.5703125" bestFit="1" customWidth="1"/>
    <col min="10" max="10" width="13" customWidth="1"/>
    <col min="11" max="11" width="12" customWidth="1"/>
    <col min="12" max="12" width="19.5703125" hidden="1" customWidth="1"/>
    <col min="13" max="13" width="16" hidden="1" customWidth="1"/>
    <col min="14" max="14" width="17.85546875" customWidth="1"/>
    <col min="16382" max="16382" width="1.7109375" hidden="1"/>
    <col min="16383" max="16383" width="7.28515625" hidden="1"/>
  </cols>
  <sheetData>
    <row r="1" spans="1:14" s="1" customFormat="1" ht="34.5" customHeight="1" x14ac:dyDescent="0.25">
      <c r="A1" s="12" t="s">
        <v>24</v>
      </c>
      <c r="B1" s="12"/>
      <c r="C1" s="12"/>
      <c r="D1" s="12"/>
      <c r="E1" s="12"/>
      <c r="F1" s="12"/>
      <c r="G1" s="12"/>
      <c r="H1" s="12"/>
      <c r="I1" s="12"/>
      <c r="J1" s="12"/>
      <c r="K1" s="12"/>
      <c r="L1" s="12"/>
      <c r="M1" s="12"/>
      <c r="N1" s="12"/>
    </row>
    <row r="2" spans="1:14" s="1" customFormat="1" ht="18" customHeight="1" x14ac:dyDescent="0.25">
      <c r="A2" s="12"/>
      <c r="B2" s="12"/>
      <c r="C2" s="12"/>
      <c r="D2" s="12"/>
      <c r="E2" s="12"/>
      <c r="F2" s="12"/>
      <c r="G2" s="12"/>
      <c r="H2" s="12"/>
      <c r="I2" s="12"/>
      <c r="J2" s="12"/>
      <c r="K2" s="12"/>
      <c r="L2" s="12"/>
      <c r="M2" s="12"/>
      <c r="N2" s="12"/>
    </row>
    <row r="3" spans="1:14" ht="21.75" customHeight="1" x14ac:dyDescent="0.25">
      <c r="C3" s="3"/>
    </row>
    <row r="4" spans="1:14" ht="21.75" customHeight="1" x14ac:dyDescent="0.3">
      <c r="A4" s="33" t="s">
        <v>45</v>
      </c>
      <c r="B4" s="37" t="s">
        <v>28</v>
      </c>
      <c r="C4" s="3"/>
    </row>
    <row r="5" spans="1:14" ht="15" customHeight="1" x14ac:dyDescent="0.25">
      <c r="A5" t="s">
        <v>25</v>
      </c>
      <c r="B5" s="6">
        <f>1800</f>
        <v>1800</v>
      </c>
      <c r="C5" s="3"/>
    </row>
    <row r="6" spans="1:14" ht="15" customHeight="1" x14ac:dyDescent="0.25">
      <c r="A6" t="s">
        <v>26</v>
      </c>
      <c r="B6" s="6"/>
      <c r="C6" s="3"/>
    </row>
    <row r="7" spans="1:14" ht="15" customHeight="1" x14ac:dyDescent="0.25">
      <c r="A7" t="s">
        <v>27</v>
      </c>
      <c r="B7" s="40">
        <f>B27</f>
        <v>0</v>
      </c>
      <c r="C7" s="3"/>
    </row>
    <row r="8" spans="1:14" ht="15" customHeight="1" x14ac:dyDescent="0.25">
      <c r="A8" t="s">
        <v>29</v>
      </c>
      <c r="B8" s="6"/>
      <c r="C8" s="3"/>
    </row>
    <row r="9" spans="1:14" ht="15" customHeight="1" x14ac:dyDescent="0.25">
      <c r="A9" s="24" t="s">
        <v>32</v>
      </c>
      <c r="B9" s="25">
        <f>SUM(B5:B8)</f>
        <v>1800</v>
      </c>
      <c r="C9" s="3"/>
    </row>
    <row r="10" spans="1:14" ht="15" customHeight="1" x14ac:dyDescent="0.25">
      <c r="C10" s="3"/>
    </row>
    <row r="11" spans="1:14" ht="17.25" customHeight="1" x14ac:dyDescent="0.3">
      <c r="A11" s="34" t="s">
        <v>46</v>
      </c>
      <c r="B11" s="38" t="s">
        <v>30</v>
      </c>
      <c r="C11" s="28"/>
    </row>
    <row r="12" spans="1:14" ht="15" customHeight="1" x14ac:dyDescent="0.25">
      <c r="A12" s="6" t="s">
        <v>34</v>
      </c>
      <c r="B12" s="13">
        <f>B5+B7</f>
        <v>1800</v>
      </c>
      <c r="C12" s="4"/>
    </row>
    <row r="13" spans="1:14" ht="15" customHeight="1" x14ac:dyDescent="0.25">
      <c r="A13" s="26" t="s">
        <v>31</v>
      </c>
      <c r="B13" s="63">
        <f>F32+F39+F52+B37+B47</f>
        <v>1714.24</v>
      </c>
      <c r="C13" s="4"/>
    </row>
    <row r="14" spans="1:14" ht="15" customHeight="1" x14ac:dyDescent="0.25">
      <c r="A14" s="25" t="s">
        <v>39</v>
      </c>
      <c r="B14" s="48">
        <f>B12-B13</f>
        <v>85.759999999999991</v>
      </c>
      <c r="C14" s="4"/>
    </row>
    <row r="15" spans="1:14" ht="15.75" thickBot="1" x14ac:dyDescent="0.3">
      <c r="C15" s="4"/>
    </row>
    <row r="16" spans="1:14" ht="15.75" x14ac:dyDescent="0.25">
      <c r="A16" s="31" t="s">
        <v>47</v>
      </c>
      <c r="B16" s="32"/>
      <c r="C16" s="29"/>
    </row>
    <row r="17" spans="1:10" ht="15.75" thickBot="1" x14ac:dyDescent="0.3">
      <c r="A17" s="117">
        <f>IF(B13&lt;B12,((B13*100/B12)/100),"Mais de 100% do ganho mensal")</f>
        <v>0.95235555555555551</v>
      </c>
      <c r="B17" s="118"/>
      <c r="C17" s="3"/>
    </row>
    <row r="18" spans="1:10" x14ac:dyDescent="0.25">
      <c r="C18" s="30"/>
    </row>
    <row r="19" spans="1:10" x14ac:dyDescent="0.25">
      <c r="C19" s="30"/>
    </row>
    <row r="20" spans="1:10" x14ac:dyDescent="0.25">
      <c r="C20" s="30"/>
    </row>
    <row r="21" spans="1:10" x14ac:dyDescent="0.25">
      <c r="C21" s="30"/>
    </row>
    <row r="22" spans="1:10" x14ac:dyDescent="0.25">
      <c r="C22" s="30"/>
    </row>
    <row r="23" spans="1:10" x14ac:dyDescent="0.25">
      <c r="C23" s="30"/>
      <c r="G23" s="7"/>
    </row>
    <row r="24" spans="1:10" x14ac:dyDescent="0.25">
      <c r="B24" t="s">
        <v>72</v>
      </c>
      <c r="C24" s="45"/>
      <c r="F24" t="s">
        <v>72</v>
      </c>
    </row>
    <row r="25" spans="1:10" x14ac:dyDescent="0.25">
      <c r="A25" s="35" t="s">
        <v>27</v>
      </c>
      <c r="B25" s="8" t="s">
        <v>2</v>
      </c>
      <c r="C25" s="8" t="s">
        <v>13</v>
      </c>
      <c r="E25" s="9" t="s">
        <v>12</v>
      </c>
      <c r="F25" s="9" t="s">
        <v>2</v>
      </c>
      <c r="G25" s="9" t="s">
        <v>0</v>
      </c>
      <c r="H25" s="9" t="s">
        <v>1</v>
      </c>
      <c r="I25" s="9" t="s">
        <v>10</v>
      </c>
      <c r="J25" s="9" t="s">
        <v>3</v>
      </c>
    </row>
    <row r="26" spans="1:10" x14ac:dyDescent="0.25">
      <c r="A26" s="21" t="s">
        <v>79</v>
      </c>
      <c r="B26" s="73">
        <v>0</v>
      </c>
      <c r="C26" s="20"/>
      <c r="E26" s="53" t="s">
        <v>8</v>
      </c>
      <c r="F26" s="68">
        <v>551.75</v>
      </c>
      <c r="G26" s="66">
        <v>44387</v>
      </c>
      <c r="H26" s="66">
        <v>44410</v>
      </c>
      <c r="I26" s="53">
        <f t="shared" ref="I26:I31" si="0">IF(H26="","Sem data",IF(H26-G26&lt;0,"Pago antes do vencimento",H26-G26))</f>
        <v>23</v>
      </c>
      <c r="J26" s="53" t="str">
        <f t="shared" ref="J26:J31" si="1">IF(I26:I31="Sem data","Pagar","Pago")</f>
        <v>Pago</v>
      </c>
    </row>
    <row r="27" spans="1:10" x14ac:dyDescent="0.25">
      <c r="A27" s="47" t="s">
        <v>32</v>
      </c>
      <c r="B27" s="87">
        <f>SUM(Tabela746192737455361[Valor])</f>
        <v>0</v>
      </c>
      <c r="E27" s="53" t="s">
        <v>4</v>
      </c>
      <c r="F27" s="68">
        <v>138.69999999999999</v>
      </c>
      <c r="G27" s="66">
        <v>44400</v>
      </c>
      <c r="H27" s="66">
        <v>44410</v>
      </c>
      <c r="I27" s="53">
        <f>IF(H27="","Sem data",IF(H27-G27&lt;0,"Pago antes do vencimento",H27-G27))</f>
        <v>10</v>
      </c>
      <c r="J27" s="53" t="str">
        <f t="shared" si="1"/>
        <v>Pago</v>
      </c>
    </row>
    <row r="28" spans="1:10" x14ac:dyDescent="0.25">
      <c r="A28" s="47" t="s">
        <v>37</v>
      </c>
      <c r="B28" s="88">
        <f>AVERAGE(Tabela746192737455361[Valor])</f>
        <v>0</v>
      </c>
      <c r="E28" s="53" t="s">
        <v>9</v>
      </c>
      <c r="F28" s="68">
        <v>254</v>
      </c>
      <c r="G28" s="66">
        <v>44389</v>
      </c>
      <c r="H28" s="66">
        <v>44389</v>
      </c>
      <c r="I28" s="53">
        <f t="shared" si="0"/>
        <v>0</v>
      </c>
      <c r="J28" s="53" t="str">
        <f t="shared" si="1"/>
        <v>Pago</v>
      </c>
    </row>
    <row r="29" spans="1:10" x14ac:dyDescent="0.25">
      <c r="E29" s="53" t="s">
        <v>6</v>
      </c>
      <c r="F29" s="68">
        <v>0</v>
      </c>
      <c r="G29" s="66"/>
      <c r="H29" s="66"/>
      <c r="I29" s="53" t="str">
        <f>IF(H29="","Sem data",IF(H29-G29&lt;0,"Pago antes do vencimento",H29-G29))</f>
        <v>Sem data</v>
      </c>
      <c r="J29" s="53" t="str">
        <f t="shared" si="1"/>
        <v>Pagar</v>
      </c>
    </row>
    <row r="30" spans="1:10" x14ac:dyDescent="0.25">
      <c r="E30" s="53" t="s">
        <v>5</v>
      </c>
      <c r="F30" s="68">
        <v>101.71</v>
      </c>
      <c r="G30" s="66">
        <v>44387</v>
      </c>
      <c r="H30" s="66">
        <v>44392</v>
      </c>
      <c r="I30" s="53">
        <f t="shared" si="0"/>
        <v>5</v>
      </c>
      <c r="J30" s="53" t="str">
        <f t="shared" si="1"/>
        <v>Pago</v>
      </c>
    </row>
    <row r="31" spans="1:10" x14ac:dyDescent="0.25">
      <c r="E31" s="53" t="s">
        <v>33</v>
      </c>
      <c r="F31" s="68">
        <v>0</v>
      </c>
      <c r="G31" s="66"/>
      <c r="H31" s="66"/>
      <c r="I31" s="53" t="str">
        <f t="shared" si="0"/>
        <v>Sem data</v>
      </c>
      <c r="J31" s="53" t="str">
        <f t="shared" si="1"/>
        <v>Pagar</v>
      </c>
    </row>
    <row r="32" spans="1:10" x14ac:dyDescent="0.25">
      <c r="A32" s="3"/>
      <c r="B32" s="41"/>
      <c r="C32" s="3"/>
      <c r="E32" s="47" t="s">
        <v>32</v>
      </c>
      <c r="F32" s="88">
        <f>SUM(Tabela32102129394755[Valor])</f>
        <v>1046.1600000000001</v>
      </c>
    </row>
    <row r="33" spans="1:10" x14ac:dyDescent="0.25">
      <c r="A33" s="3"/>
      <c r="B33" s="41"/>
      <c r="C33" s="3"/>
      <c r="E33" s="47" t="s">
        <v>36</v>
      </c>
      <c r="F33" s="88">
        <f>AVERAGE(Tabela32102129394755[Valor])</f>
        <v>174.36</v>
      </c>
    </row>
    <row r="34" spans="1:10" x14ac:dyDescent="0.25">
      <c r="A34" s="3"/>
      <c r="B34" s="41" t="s">
        <v>72</v>
      </c>
      <c r="C34" s="2"/>
    </row>
    <row r="35" spans="1:10" ht="15.75" x14ac:dyDescent="0.25">
      <c r="A35" s="35" t="s">
        <v>42</v>
      </c>
      <c r="B35" s="8" t="s">
        <v>2</v>
      </c>
      <c r="C35" s="8" t="s">
        <v>13</v>
      </c>
      <c r="G35" s="46"/>
    </row>
    <row r="36" spans="1:10" s="3" customFormat="1" x14ac:dyDescent="0.25">
      <c r="A36" s="21"/>
      <c r="B36" s="73">
        <v>0</v>
      </c>
      <c r="C36" s="22"/>
      <c r="F36" s="3" t="s">
        <v>72</v>
      </c>
    </row>
    <row r="37" spans="1:10" s="3" customFormat="1" x14ac:dyDescent="0.25">
      <c r="A37" s="47" t="s">
        <v>32</v>
      </c>
      <c r="B37" s="88">
        <f>SUM(Tabela7172534435159[Valor])</f>
        <v>0</v>
      </c>
      <c r="C37"/>
      <c r="E37" s="16" t="s">
        <v>40</v>
      </c>
      <c r="F37" s="8" t="s">
        <v>2</v>
      </c>
      <c r="G37" s="8" t="s">
        <v>1</v>
      </c>
      <c r="H37" s="8" t="s">
        <v>11</v>
      </c>
      <c r="I37" s="8" t="s">
        <v>22</v>
      </c>
      <c r="J37" s="8" t="s">
        <v>3</v>
      </c>
    </row>
    <row r="38" spans="1:10" s="3" customFormat="1" x14ac:dyDescent="0.25">
      <c r="A38" s="47" t="s">
        <v>38</v>
      </c>
      <c r="B38" s="88">
        <f>AVERAGE(Tabela7172534435159[Valor])</f>
        <v>0</v>
      </c>
      <c r="C38"/>
      <c r="E38"/>
      <c r="F38" s="68">
        <v>0</v>
      </c>
      <c r="G38" s="11"/>
      <c r="H38" s="7"/>
      <c r="I38" s="7" t="s">
        <v>21</v>
      </c>
      <c r="J38" s="7" t="s">
        <v>20</v>
      </c>
    </row>
    <row r="39" spans="1:10" x14ac:dyDescent="0.25">
      <c r="E39" s="47" t="s">
        <v>32</v>
      </c>
      <c r="F39" s="88">
        <f>SUM(Tabela4122331414957[Valor])</f>
        <v>0</v>
      </c>
    </row>
    <row r="40" spans="1:10" x14ac:dyDescent="0.25">
      <c r="E40" s="47" t="s">
        <v>37</v>
      </c>
      <c r="F40" s="88">
        <f>AVERAGE(Tabela4122331414957[Valor])</f>
        <v>0</v>
      </c>
    </row>
    <row r="41" spans="1:10" x14ac:dyDescent="0.25">
      <c r="E41" s="44"/>
      <c r="F41" s="41"/>
    </row>
    <row r="42" spans="1:10" x14ac:dyDescent="0.25">
      <c r="A42" s="44"/>
      <c r="B42" s="41"/>
      <c r="C42" s="3"/>
      <c r="E42" s="44"/>
      <c r="F42" s="41"/>
    </row>
    <row r="43" spans="1:10" x14ac:dyDescent="0.25">
      <c r="E43" s="44"/>
      <c r="F43" s="41"/>
    </row>
    <row r="44" spans="1:10" x14ac:dyDescent="0.25">
      <c r="B44" t="s">
        <v>72</v>
      </c>
      <c r="F44" t="s">
        <v>72</v>
      </c>
    </row>
    <row r="45" spans="1:10" ht="15.75" x14ac:dyDescent="0.25">
      <c r="A45" s="36" t="s">
        <v>43</v>
      </c>
      <c r="B45" s="8" t="s">
        <v>2</v>
      </c>
      <c r="C45" s="8" t="s">
        <v>13</v>
      </c>
      <c r="E45" s="56" t="s">
        <v>7</v>
      </c>
      <c r="F45" s="56" t="s">
        <v>2</v>
      </c>
      <c r="G45" s="56" t="s">
        <v>14</v>
      </c>
      <c r="H45" s="56" t="s">
        <v>13</v>
      </c>
    </row>
    <row r="46" spans="1:10" x14ac:dyDescent="0.25">
      <c r="A46" s="21" t="s">
        <v>48</v>
      </c>
      <c r="B46" s="73">
        <v>0</v>
      </c>
      <c r="C46" s="22"/>
      <c r="E46" s="53" t="s">
        <v>15</v>
      </c>
      <c r="F46" s="68">
        <v>245.64</v>
      </c>
      <c r="G46" s="53">
        <v>46</v>
      </c>
      <c r="H46" s="66">
        <v>44383</v>
      </c>
    </row>
    <row r="47" spans="1:10" x14ac:dyDescent="0.25">
      <c r="A47" s="47" t="s">
        <v>32</v>
      </c>
      <c r="B47" s="87">
        <f>SUM(B46:B46)</f>
        <v>0</v>
      </c>
      <c r="E47" s="53" t="s">
        <v>19</v>
      </c>
      <c r="F47" s="68">
        <v>83.72</v>
      </c>
      <c r="G47" s="53">
        <v>18</v>
      </c>
      <c r="H47" s="66">
        <v>44383</v>
      </c>
    </row>
    <row r="48" spans="1:10" x14ac:dyDescent="0.25">
      <c r="A48" s="47" t="s">
        <v>38</v>
      </c>
      <c r="B48" s="87">
        <f>AVERAGE(Tabela74182635445260[Valor])</f>
        <v>0</v>
      </c>
      <c r="E48" s="53" t="s">
        <v>15</v>
      </c>
      <c r="F48" s="68">
        <v>193.79</v>
      </c>
      <c r="G48" s="53">
        <v>30</v>
      </c>
      <c r="H48" s="66">
        <v>44393</v>
      </c>
    </row>
    <row r="49" spans="2:14" x14ac:dyDescent="0.25">
      <c r="E49" s="53" t="s">
        <v>78</v>
      </c>
      <c r="F49" s="68">
        <v>26.56</v>
      </c>
      <c r="G49" s="53">
        <v>8</v>
      </c>
      <c r="H49" s="66">
        <v>44403</v>
      </c>
    </row>
    <row r="50" spans="2:14" x14ac:dyDescent="0.25">
      <c r="E50" s="53" t="s">
        <v>19</v>
      </c>
      <c r="F50" s="68">
        <v>26.59</v>
      </c>
      <c r="G50" s="53">
        <v>8</v>
      </c>
      <c r="H50" s="66">
        <v>44403</v>
      </c>
    </row>
    <row r="51" spans="2:14" x14ac:dyDescent="0.25">
      <c r="E51" s="53" t="s">
        <v>19</v>
      </c>
      <c r="F51" s="68">
        <v>91.78</v>
      </c>
      <c r="G51" s="53">
        <v>13</v>
      </c>
      <c r="H51" s="66">
        <v>44404</v>
      </c>
    </row>
    <row r="52" spans="2:14" x14ac:dyDescent="0.25">
      <c r="B52" s="14"/>
      <c r="C52" s="14"/>
      <c r="E52" s="47" t="s">
        <v>32</v>
      </c>
      <c r="F52" s="88">
        <f>SUM(Tabela6132432425058[Valor])</f>
        <v>668.07999999999993</v>
      </c>
    </row>
    <row r="53" spans="2:14" x14ac:dyDescent="0.25">
      <c r="B53" s="14"/>
      <c r="C53" s="14"/>
      <c r="E53" s="47" t="s">
        <v>38</v>
      </c>
      <c r="F53" s="88">
        <f>AVERAGE(Tabela6132432425058[Valor])</f>
        <v>111.34666666666665</v>
      </c>
      <c r="I53" s="14"/>
      <c r="J53" s="14"/>
    </row>
    <row r="54" spans="2:14" ht="18.75" x14ac:dyDescent="0.3">
      <c r="B54" s="14"/>
      <c r="C54" s="14"/>
      <c r="I54" s="17"/>
      <c r="J54" s="14"/>
    </row>
    <row r="55" spans="2:14" x14ac:dyDescent="0.25">
      <c r="B55" s="14"/>
      <c r="C55" s="14"/>
      <c r="I55" s="5"/>
      <c r="J55" s="5"/>
    </row>
    <row r="56" spans="2:14" x14ac:dyDescent="0.25">
      <c r="B56" s="14"/>
      <c r="C56" s="14"/>
      <c r="I56" s="14"/>
      <c r="J56" s="14"/>
    </row>
    <row r="57" spans="2:14" x14ac:dyDescent="0.25">
      <c r="B57" s="14"/>
      <c r="C57" s="14"/>
      <c r="I57" s="14"/>
      <c r="J57" s="14"/>
    </row>
    <row r="58" spans="2:14" ht="15" customHeight="1" x14ac:dyDescent="0.25">
      <c r="B58" s="14"/>
      <c r="C58" s="14"/>
      <c r="I58" s="14"/>
      <c r="J58" s="14"/>
    </row>
    <row r="59" spans="2:14" ht="15" customHeight="1" x14ac:dyDescent="0.25">
      <c r="B59" s="14"/>
      <c r="C59" s="14"/>
      <c r="I59" s="14"/>
      <c r="J59" s="14"/>
    </row>
    <row r="60" spans="2:14" ht="15" customHeight="1" x14ac:dyDescent="0.25">
      <c r="B60" s="14"/>
      <c r="C60" s="14"/>
      <c r="D60" s="14"/>
      <c r="H60" s="14"/>
      <c r="I60" s="14"/>
      <c r="J60" s="14"/>
      <c r="K60" s="14"/>
      <c r="L60" s="14"/>
      <c r="M60" s="14"/>
      <c r="N60" s="14"/>
    </row>
    <row r="61" spans="2:14" ht="13.5" customHeight="1" x14ac:dyDescent="0.25">
      <c r="B61" s="14"/>
      <c r="C61" s="14"/>
      <c r="D61" s="14"/>
      <c r="H61" s="14"/>
      <c r="I61" s="14"/>
      <c r="J61" s="14"/>
      <c r="K61" s="14"/>
      <c r="L61" s="14"/>
      <c r="M61" s="14"/>
      <c r="N61" s="14"/>
    </row>
    <row r="62" spans="2:14" ht="16.5" customHeight="1" x14ac:dyDescent="0.25">
      <c r="B62" s="14"/>
      <c r="C62" s="14"/>
      <c r="D62" s="14"/>
      <c r="H62" s="14"/>
      <c r="I62" s="14"/>
      <c r="J62" s="14"/>
      <c r="K62" s="14"/>
      <c r="L62" s="14"/>
      <c r="M62" s="14"/>
      <c r="N62" s="14"/>
    </row>
    <row r="63" spans="2:14" ht="15" customHeight="1" x14ac:dyDescent="0.25">
      <c r="B63" s="14"/>
      <c r="C63" s="14"/>
      <c r="D63" s="14"/>
      <c r="H63" s="49"/>
      <c r="I63" s="49"/>
      <c r="J63" s="49"/>
      <c r="K63" s="14"/>
      <c r="L63" s="14"/>
      <c r="M63" s="14"/>
      <c r="N63" s="14"/>
    </row>
    <row r="64" spans="2:14" ht="15" customHeight="1" x14ac:dyDescent="0.25">
      <c r="D64" s="14"/>
      <c r="H64" s="14"/>
      <c r="I64" s="14"/>
      <c r="J64" s="14"/>
      <c r="K64" s="14"/>
      <c r="L64" s="14"/>
      <c r="M64" s="14"/>
      <c r="N64" s="14"/>
    </row>
    <row r="65" spans="4:14" ht="16.5" customHeight="1" x14ac:dyDescent="0.25">
      <c r="D65" s="14"/>
      <c r="H65" s="14"/>
      <c r="I65" s="14"/>
      <c r="J65" s="14"/>
      <c r="K65" s="14"/>
      <c r="L65" s="14"/>
      <c r="M65" s="14"/>
      <c r="N65" s="14"/>
    </row>
    <row r="66" spans="4:14" ht="18" customHeight="1" x14ac:dyDescent="0.25">
      <c r="D66" s="14"/>
      <c r="H66" s="14"/>
      <c r="I66" s="14"/>
      <c r="J66" s="14"/>
      <c r="K66" s="14"/>
      <c r="L66" s="14"/>
      <c r="M66" s="14"/>
      <c r="N66" s="14"/>
    </row>
    <row r="67" spans="4:14" ht="15.75" customHeight="1" x14ac:dyDescent="0.25">
      <c r="D67" s="14"/>
      <c r="H67" s="14"/>
      <c r="I67" s="14"/>
      <c r="J67" s="14"/>
      <c r="K67" s="14"/>
      <c r="L67" s="14"/>
      <c r="M67" s="14"/>
      <c r="N67" s="14"/>
    </row>
    <row r="68" spans="4:14" ht="15" customHeight="1" x14ac:dyDescent="0.25">
      <c r="D68" s="14"/>
      <c r="H68" s="14"/>
      <c r="I68" s="14"/>
      <c r="J68" s="14"/>
      <c r="K68" s="14"/>
      <c r="L68" s="14"/>
      <c r="M68" s="14"/>
      <c r="N68" s="14"/>
    </row>
    <row r="69" spans="4:14" ht="15" customHeight="1" x14ac:dyDescent="0.25">
      <c r="D69" s="14"/>
      <c r="H69" s="14"/>
      <c r="I69" s="14"/>
      <c r="J69" s="14"/>
      <c r="K69" s="14"/>
      <c r="L69" s="14"/>
      <c r="M69" s="14"/>
      <c r="N69" s="14"/>
    </row>
    <row r="70" spans="4:14" ht="15" customHeight="1" x14ac:dyDescent="0.25">
      <c r="D70" s="49"/>
      <c r="H70" s="14"/>
      <c r="I70" s="14"/>
      <c r="J70" s="14"/>
      <c r="K70" s="14"/>
      <c r="L70" s="116"/>
      <c r="M70" s="116"/>
      <c r="N70" s="116"/>
    </row>
    <row r="71" spans="4:14" ht="15" customHeight="1" x14ac:dyDescent="0.25">
      <c r="D71" s="14"/>
      <c r="H71" s="14"/>
      <c r="I71" s="14"/>
      <c r="J71" s="14"/>
      <c r="K71" s="14"/>
      <c r="L71" s="14"/>
      <c r="M71" s="14"/>
      <c r="N71" s="14"/>
    </row>
    <row r="72" spans="4:14" ht="15" customHeight="1" x14ac:dyDescent="0.25">
      <c r="D72" s="14"/>
      <c r="H72" s="14"/>
      <c r="I72" s="14"/>
      <c r="J72" s="14"/>
      <c r="K72" s="14"/>
      <c r="L72" s="14"/>
      <c r="M72" s="14"/>
      <c r="N72" s="14"/>
    </row>
    <row r="73" spans="4:14" ht="15" customHeight="1" x14ac:dyDescent="0.25">
      <c r="D73" s="14"/>
      <c r="H73" s="14"/>
      <c r="I73" s="14"/>
      <c r="J73" s="14"/>
      <c r="K73" s="14"/>
      <c r="L73" s="14"/>
      <c r="M73" s="14"/>
      <c r="N73" s="14"/>
    </row>
    <row r="74" spans="4:14" ht="15" customHeight="1" x14ac:dyDescent="0.25">
      <c r="D74" s="14"/>
      <c r="H74" s="14"/>
      <c r="I74" s="14"/>
      <c r="J74" s="14"/>
      <c r="K74" s="14"/>
      <c r="L74" s="14"/>
      <c r="M74" s="14"/>
      <c r="N74" s="14"/>
    </row>
    <row r="75" spans="4:14" ht="15" customHeight="1" x14ac:dyDescent="0.25">
      <c r="D75" s="14"/>
      <c r="E75" s="14"/>
      <c r="F75" s="14"/>
      <c r="G75" s="14"/>
      <c r="H75" s="14"/>
      <c r="I75" s="14"/>
      <c r="J75" s="14"/>
      <c r="K75" s="14"/>
      <c r="L75" s="14"/>
      <c r="M75" s="14"/>
      <c r="N75" s="14"/>
    </row>
    <row r="76" spans="4:14" ht="15" customHeight="1" x14ac:dyDescent="0.25">
      <c r="D76" s="14"/>
      <c r="E76" s="14"/>
      <c r="F76" s="14"/>
      <c r="G76" s="14"/>
      <c r="H76" s="14"/>
      <c r="I76" s="14"/>
      <c r="J76" s="14"/>
      <c r="K76" s="14"/>
      <c r="L76" s="14"/>
      <c r="M76" s="14"/>
      <c r="N76" s="14"/>
    </row>
    <row r="77" spans="4:14" ht="15" customHeight="1" x14ac:dyDescent="0.25">
      <c r="D77" s="14"/>
      <c r="E77" s="14"/>
      <c r="F77" s="14"/>
      <c r="G77" s="14"/>
      <c r="H77" s="14"/>
      <c r="I77" s="14"/>
      <c r="J77" s="14"/>
      <c r="K77" s="14"/>
      <c r="L77" s="14"/>
      <c r="M77" s="14"/>
      <c r="N77" s="14"/>
    </row>
    <row r="78" spans="4:14" ht="15" customHeight="1" x14ac:dyDescent="0.25">
      <c r="D78" s="14"/>
      <c r="K78" s="14"/>
      <c r="L78" s="14"/>
      <c r="M78" s="14"/>
      <c r="N78" s="14"/>
    </row>
    <row r="79" spans="4:14" ht="15" customHeight="1" x14ac:dyDescent="0.25">
      <c r="D79" s="14"/>
      <c r="K79" s="14"/>
      <c r="L79" s="14"/>
      <c r="M79" s="14"/>
      <c r="N79" s="14"/>
    </row>
    <row r="80" spans="4:14" ht="15" customHeight="1" x14ac:dyDescent="0.25">
      <c r="D80" s="14"/>
      <c r="K80" s="14"/>
      <c r="L80" s="14"/>
      <c r="M80" s="14"/>
      <c r="N80" s="14"/>
    </row>
    <row r="81" spans="4:14" ht="15" customHeight="1" x14ac:dyDescent="0.25">
      <c r="D81" s="14"/>
      <c r="K81" s="14"/>
      <c r="L81" s="14"/>
      <c r="M81" s="14"/>
      <c r="N81" s="14"/>
    </row>
    <row r="82" spans="4:14" x14ac:dyDescent="0.25">
      <c r="D82" s="14"/>
      <c r="K82" s="14"/>
      <c r="L82" s="14"/>
      <c r="M82" s="14"/>
      <c r="N82" s="14"/>
    </row>
    <row r="83" spans="4:14" x14ac:dyDescent="0.25">
      <c r="D83" s="14"/>
      <c r="K83" s="14"/>
      <c r="L83" s="14"/>
      <c r="M83" s="14"/>
      <c r="N83" s="14"/>
    </row>
    <row r="84" spans="4:14" x14ac:dyDescent="0.25">
      <c r="D84" s="14"/>
      <c r="K84" s="14"/>
      <c r="L84" s="14"/>
      <c r="M84" s="14"/>
      <c r="N84" s="14"/>
    </row>
  </sheetData>
  <mergeCells count="2">
    <mergeCell ref="A17:B17"/>
    <mergeCell ref="L70:N70"/>
  </mergeCells>
  <conditionalFormatting sqref="A17">
    <cfRule type="dataBar" priority="4">
      <dataBar>
        <cfvo type="num" val="0"/>
        <cfvo type="num" val="1"/>
        <color theme="4" tint="0.39997558519241921"/>
      </dataBar>
      <extLst>
        <ext xmlns:x14="http://schemas.microsoft.com/office/spreadsheetml/2009/9/main" uri="{B025F937-C7B1-47D3-B67F-A62EFF666E3E}">
          <x14:id>{14453393-C9E3-4643-BE5D-83ACB2219267}</x14:id>
        </ext>
      </extLst>
    </cfRule>
  </conditionalFormatting>
  <conditionalFormatting sqref="A17:B17">
    <cfRule type="containsText" dxfId="23" priority="5" operator="containsText" text="Mais de 100%">
      <formula>NOT(ISERROR(SEARCH("Mais de 100%",A17)))</formula>
    </cfRule>
  </conditionalFormatting>
  <conditionalFormatting sqref="J26:J31">
    <cfRule type="containsText" dxfId="22" priority="2" operator="containsText" text="Pagar">
      <formula>NOT(ISERROR(SEARCH("Pagar",J26)))</formula>
    </cfRule>
  </conditionalFormatting>
  <conditionalFormatting sqref="B14">
    <cfRule type="cellIs" dxfId="21" priority="1" operator="lessThan">
      <formula>0</formula>
    </cfRule>
  </conditionalFormatting>
  <pageMargins left="0.511811024" right="0.511811024" top="0.78740157499999996" bottom="0.78740157499999996" header="0.31496062000000002" footer="0.31496062000000002"/>
  <pageSetup paperSize="9" orientation="portrait" horizontalDpi="0" verticalDpi="0" r:id="rId1"/>
  <drawing r:id="rId2"/>
  <legacyDrawing r:id="rId3"/>
  <tableParts count="8">
    <tablePart r:id="rId4"/>
    <tablePart r:id="rId5"/>
    <tablePart r:id="rId6"/>
    <tablePart r:id="rId7"/>
    <tablePart r:id="rId8"/>
    <tablePart r:id="rId9"/>
    <tablePart r:id="rId10"/>
    <tablePart r:id="rId11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4453393-C9E3-4643-BE5D-83ACB2219267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A17</xm:sqref>
        </x14:conditionalFormatting>
        <x14:conditionalFormatting xmlns:xm="http://schemas.microsoft.com/office/excel/2006/main">
          <x14:cfRule type="containsText" priority="3" operator="containsText" id="{DF92FFD2-9658-431C-A557-502A79B1568A}">
            <xm:f>NOT(ISERROR(SEARCH(Pagar,J38)))</xm:f>
            <xm:f>Pagar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J38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254DF2-EF19-4AE8-9A4F-9173100CA9B3}">
  <sheetPr codeName="Planilha12"/>
  <dimension ref="A1:XFC84"/>
  <sheetViews>
    <sheetView showGridLines="0" topLeftCell="A21" zoomScale="89" zoomScaleNormal="89" workbookViewId="0">
      <selection activeCell="F39" sqref="F39"/>
    </sheetView>
  </sheetViews>
  <sheetFormatPr defaultColWidth="0" defaultRowHeight="15" x14ac:dyDescent="0.25"/>
  <cols>
    <col min="1" max="1" width="22.42578125" customWidth="1"/>
    <col min="2" max="2" width="16.7109375" customWidth="1"/>
    <col min="3" max="3" width="14.85546875" customWidth="1"/>
    <col min="4" max="4" width="18.140625" customWidth="1"/>
    <col min="5" max="5" width="32.28515625" bestFit="1" customWidth="1"/>
    <col min="6" max="6" width="17.140625" customWidth="1"/>
    <col min="7" max="7" width="26" customWidth="1"/>
    <col min="8" max="8" width="25" bestFit="1" customWidth="1"/>
    <col min="9" max="9" width="26.5703125" bestFit="1" customWidth="1"/>
    <col min="10" max="10" width="13" customWidth="1"/>
    <col min="11" max="11" width="12" customWidth="1"/>
    <col min="12" max="12" width="19.5703125" hidden="1" customWidth="1"/>
    <col min="13" max="13" width="16" hidden="1" customWidth="1"/>
    <col min="14" max="14" width="17.85546875" customWidth="1"/>
    <col min="16382" max="16382" width="1.7109375" hidden="1"/>
    <col min="16383" max="16383" width="7.28515625" hidden="1"/>
  </cols>
  <sheetData>
    <row r="1" spans="1:14" s="1" customFormat="1" ht="34.5" customHeight="1" x14ac:dyDescent="0.25">
      <c r="A1" s="12" t="s">
        <v>24</v>
      </c>
      <c r="B1" s="12"/>
      <c r="C1" s="12"/>
      <c r="D1" s="12"/>
      <c r="E1" s="12"/>
      <c r="F1" s="12"/>
      <c r="G1" s="12"/>
      <c r="H1" s="12"/>
      <c r="I1" s="12"/>
      <c r="J1" s="12"/>
      <c r="K1" s="12"/>
      <c r="L1" s="12"/>
      <c r="M1" s="12"/>
      <c r="N1" s="12"/>
    </row>
    <row r="2" spans="1:14" s="1" customFormat="1" ht="18" customHeight="1" x14ac:dyDescent="0.25">
      <c r="A2" s="12"/>
      <c r="B2" s="12"/>
      <c r="C2" s="12"/>
      <c r="D2" s="12"/>
      <c r="E2" s="12"/>
      <c r="F2" s="12"/>
      <c r="G2" s="12"/>
      <c r="H2" s="12"/>
      <c r="I2" s="12"/>
      <c r="J2" s="12"/>
      <c r="K2" s="12"/>
      <c r="L2" s="12"/>
      <c r="M2" s="12"/>
      <c r="N2" s="12"/>
    </row>
    <row r="3" spans="1:14" ht="21.75" customHeight="1" x14ac:dyDescent="0.25">
      <c r="C3" s="3"/>
    </row>
    <row r="4" spans="1:14" ht="21.75" customHeight="1" x14ac:dyDescent="0.3">
      <c r="A4" s="33" t="s">
        <v>45</v>
      </c>
      <c r="B4" s="37" t="s">
        <v>28</v>
      </c>
      <c r="C4" s="3"/>
    </row>
    <row r="5" spans="1:14" ht="15" customHeight="1" x14ac:dyDescent="0.25">
      <c r="A5" t="s">
        <v>25</v>
      </c>
      <c r="B5" s="84">
        <f>1800</f>
        <v>1800</v>
      </c>
      <c r="C5" s="3"/>
    </row>
    <row r="6" spans="1:14" ht="15" customHeight="1" x14ac:dyDescent="0.25">
      <c r="A6" t="s">
        <v>26</v>
      </c>
      <c r="B6" s="84"/>
      <c r="C6" s="3"/>
    </row>
    <row r="7" spans="1:14" ht="15" customHeight="1" x14ac:dyDescent="0.25">
      <c r="A7" t="s">
        <v>27</v>
      </c>
      <c r="B7" s="84">
        <f>B27</f>
        <v>500</v>
      </c>
      <c r="C7" s="3"/>
    </row>
    <row r="8" spans="1:14" ht="15" customHeight="1" x14ac:dyDescent="0.25">
      <c r="A8" t="s">
        <v>29</v>
      </c>
      <c r="B8" s="84"/>
      <c r="C8" s="3"/>
    </row>
    <row r="9" spans="1:14" ht="15" customHeight="1" x14ac:dyDescent="0.25">
      <c r="A9" s="24" t="s">
        <v>32</v>
      </c>
      <c r="B9" s="85">
        <f>SUM(B5:B8)</f>
        <v>2300</v>
      </c>
      <c r="C9" s="3"/>
    </row>
    <row r="10" spans="1:14" ht="15" customHeight="1" x14ac:dyDescent="0.25">
      <c r="C10" s="3"/>
    </row>
    <row r="11" spans="1:14" ht="17.25" customHeight="1" x14ac:dyDescent="0.3">
      <c r="A11" s="34" t="s">
        <v>46</v>
      </c>
      <c r="B11" s="38" t="s">
        <v>30</v>
      </c>
      <c r="C11" s="28"/>
    </row>
    <row r="12" spans="1:14" ht="15" customHeight="1" x14ac:dyDescent="0.25">
      <c r="A12" s="6" t="s">
        <v>34</v>
      </c>
      <c r="B12" s="86">
        <f>B5+B7</f>
        <v>2300</v>
      </c>
      <c r="C12" s="4"/>
    </row>
    <row r="13" spans="1:14" ht="15" customHeight="1" x14ac:dyDescent="0.25">
      <c r="A13" s="26" t="s">
        <v>31</v>
      </c>
      <c r="B13" s="63">
        <f>F32+F39+F53+B39+B47</f>
        <v>1880.8600000000001</v>
      </c>
      <c r="C13" s="4"/>
    </row>
    <row r="14" spans="1:14" ht="15" customHeight="1" x14ac:dyDescent="0.25">
      <c r="A14" s="25" t="s">
        <v>39</v>
      </c>
      <c r="B14" s="71">
        <f>B12-B13</f>
        <v>419.13999999999987</v>
      </c>
      <c r="C14" s="4"/>
    </row>
    <row r="15" spans="1:14" ht="15.75" thickBot="1" x14ac:dyDescent="0.3">
      <c r="C15" s="4"/>
    </row>
    <row r="16" spans="1:14" ht="15.75" x14ac:dyDescent="0.25">
      <c r="A16" s="31" t="s">
        <v>47</v>
      </c>
      <c r="B16" s="32"/>
      <c r="C16" s="29"/>
    </row>
    <row r="17" spans="1:10" ht="15.75" thickBot="1" x14ac:dyDescent="0.3">
      <c r="A17" s="117">
        <f>IF(B13&lt;B12,((B13*100/B12)/100),"Mais de 100% do ganho mensal")</f>
        <v>0.81776521739130426</v>
      </c>
      <c r="B17" s="118"/>
      <c r="C17" s="3"/>
    </row>
    <row r="18" spans="1:10" x14ac:dyDescent="0.25">
      <c r="C18" s="30"/>
    </row>
    <row r="19" spans="1:10" x14ac:dyDescent="0.25">
      <c r="C19" s="30"/>
    </row>
    <row r="20" spans="1:10" x14ac:dyDescent="0.25">
      <c r="C20" s="30"/>
    </row>
    <row r="21" spans="1:10" x14ac:dyDescent="0.25">
      <c r="C21" s="30"/>
    </row>
    <row r="22" spans="1:10" x14ac:dyDescent="0.25">
      <c r="C22" s="30"/>
    </row>
    <row r="23" spans="1:10" x14ac:dyDescent="0.25">
      <c r="C23" s="30"/>
      <c r="G23" s="7"/>
    </row>
    <row r="24" spans="1:10" x14ac:dyDescent="0.25">
      <c r="B24" t="s">
        <v>72</v>
      </c>
      <c r="C24" s="45"/>
      <c r="F24" t="s">
        <v>72</v>
      </c>
    </row>
    <row r="25" spans="1:10" ht="15.75" x14ac:dyDescent="0.25">
      <c r="A25" s="64" t="s">
        <v>27</v>
      </c>
      <c r="B25" s="8" t="s">
        <v>2</v>
      </c>
      <c r="C25" s="8" t="s">
        <v>13</v>
      </c>
      <c r="E25" s="56" t="s">
        <v>12</v>
      </c>
      <c r="F25" s="56" t="s">
        <v>2</v>
      </c>
      <c r="G25" s="56" t="s">
        <v>0</v>
      </c>
      <c r="H25" s="56" t="s">
        <v>1</v>
      </c>
      <c r="I25" s="56" t="s">
        <v>10</v>
      </c>
      <c r="J25" s="56" t="s">
        <v>3</v>
      </c>
    </row>
    <row r="26" spans="1:10" x14ac:dyDescent="0.25">
      <c r="A26" s="21" t="s">
        <v>83</v>
      </c>
      <c r="B26" s="73">
        <v>500</v>
      </c>
      <c r="C26" s="20"/>
      <c r="E26" s="53" t="s">
        <v>8</v>
      </c>
      <c r="F26" s="68">
        <v>474</v>
      </c>
      <c r="G26" s="66">
        <v>44418</v>
      </c>
      <c r="H26" s="66">
        <v>44442</v>
      </c>
      <c r="I26" s="53">
        <f t="shared" ref="I26:I31" si="0">IF(H26="","Sem data",IF(H26-G26&lt;0,"Pago antes do vencimento",H26-G26))</f>
        <v>24</v>
      </c>
      <c r="J26" s="53" t="str">
        <f t="shared" ref="J26" si="1">IF(I26:I31="Sem data","Pagar","Pago")</f>
        <v>Pago</v>
      </c>
    </row>
    <row r="27" spans="1:10" x14ac:dyDescent="0.25">
      <c r="A27" s="47" t="s">
        <v>32</v>
      </c>
      <c r="B27" s="87">
        <f>SUM(Tabela74619273745536169[Valor])</f>
        <v>500</v>
      </c>
      <c r="E27" s="53" t="s">
        <v>4</v>
      </c>
      <c r="F27" s="68">
        <v>150</v>
      </c>
      <c r="G27" s="66">
        <v>44433</v>
      </c>
      <c r="H27" s="66">
        <v>44442</v>
      </c>
      <c r="I27" s="53">
        <f>IF(H27="","Sem data",IF(H27-G27&lt;0,"Pago antes do vencimento",H27-G27))</f>
        <v>9</v>
      </c>
      <c r="J27" s="53" t="str">
        <f>IF(I27:I32="Sem data","Pagar","Pago")</f>
        <v>Pago</v>
      </c>
    </row>
    <row r="28" spans="1:10" x14ac:dyDescent="0.25">
      <c r="A28" s="47" t="s">
        <v>37</v>
      </c>
      <c r="B28" s="15">
        <f>AVERAGE(Tabela74619273745536169[Valor])</f>
        <v>500</v>
      </c>
      <c r="E28" s="53" t="s">
        <v>9</v>
      </c>
      <c r="F28" s="68">
        <v>254</v>
      </c>
      <c r="G28" s="66">
        <v>44417</v>
      </c>
      <c r="H28" s="66">
        <v>44417</v>
      </c>
      <c r="I28" s="53">
        <f t="shared" si="0"/>
        <v>0</v>
      </c>
      <c r="J28" s="53" t="str">
        <f>IF(I28:I33="Sem data","Pagar","Pago")</f>
        <v>Pago</v>
      </c>
    </row>
    <row r="29" spans="1:10" x14ac:dyDescent="0.25">
      <c r="E29" s="53" t="s">
        <v>6</v>
      </c>
      <c r="F29" s="68">
        <v>155</v>
      </c>
      <c r="G29" s="66">
        <v>44418</v>
      </c>
      <c r="H29" s="66">
        <v>44426</v>
      </c>
      <c r="I29" s="53">
        <f>IF(H29="","Sem data",IF(H29-G29&lt;0,"Pago antes do vencimento",H29-G29))</f>
        <v>8</v>
      </c>
      <c r="J29" s="53" t="str">
        <f>IF(I29:I34="Sem data","Pagar","Pago")</f>
        <v>Pago</v>
      </c>
    </row>
    <row r="30" spans="1:10" x14ac:dyDescent="0.25">
      <c r="E30" s="53" t="s">
        <v>5</v>
      </c>
      <c r="F30" s="68">
        <v>115</v>
      </c>
      <c r="G30" s="66">
        <v>44418</v>
      </c>
      <c r="H30" s="66">
        <v>44425</v>
      </c>
      <c r="I30" s="53">
        <f t="shared" si="0"/>
        <v>7</v>
      </c>
      <c r="J30" s="53" t="str">
        <f>IF(I30:I35="Sem data","Pagar","Pago")</f>
        <v>Pago</v>
      </c>
    </row>
    <row r="31" spans="1:10" x14ac:dyDescent="0.25">
      <c r="E31" s="53" t="s">
        <v>33</v>
      </c>
      <c r="F31" s="68">
        <v>0</v>
      </c>
      <c r="G31" s="66"/>
      <c r="H31" s="66"/>
      <c r="I31" s="53" t="str">
        <f t="shared" si="0"/>
        <v>Sem data</v>
      </c>
      <c r="J31" s="53" t="str">
        <f>IF(I31:I36="Sem data","Pagar","Pago")</f>
        <v>Pagar</v>
      </c>
    </row>
    <row r="32" spans="1:10" x14ac:dyDescent="0.25">
      <c r="A32" s="3"/>
      <c r="B32" s="41"/>
      <c r="C32" s="3"/>
      <c r="E32" s="47" t="s">
        <v>32</v>
      </c>
      <c r="F32" s="43">
        <f>SUM(Tabela3210212939475563[Valor])</f>
        <v>1148</v>
      </c>
    </row>
    <row r="33" spans="1:10" x14ac:dyDescent="0.25">
      <c r="A33" s="3"/>
      <c r="B33" s="41"/>
      <c r="C33" s="3"/>
      <c r="E33" s="47" t="s">
        <v>36</v>
      </c>
      <c r="F33" s="15">
        <f>AVERAGE(Tabela3210212939475563[Valor])</f>
        <v>191.33333333333334</v>
      </c>
    </row>
    <row r="34" spans="1:10" x14ac:dyDescent="0.25">
      <c r="A34" s="3"/>
      <c r="B34" s="41"/>
      <c r="C34" s="2"/>
    </row>
    <row r="35" spans="1:10" ht="15.75" x14ac:dyDescent="0.25">
      <c r="G35" s="46"/>
    </row>
    <row r="36" spans="1:10" s="3" customFormat="1" x14ac:dyDescent="0.25">
      <c r="B36" s="3" t="s">
        <v>72</v>
      </c>
      <c r="F36" s="3" t="s">
        <v>72</v>
      </c>
    </row>
    <row r="37" spans="1:10" s="3" customFormat="1" ht="15.75" x14ac:dyDescent="0.25">
      <c r="A37" s="36" t="s">
        <v>42</v>
      </c>
      <c r="B37" s="56" t="s">
        <v>2</v>
      </c>
      <c r="C37" s="56" t="s">
        <v>13</v>
      </c>
      <c r="E37" s="56" t="s">
        <v>40</v>
      </c>
      <c r="F37" s="56" t="s">
        <v>2</v>
      </c>
      <c r="G37" s="56" t="s">
        <v>1</v>
      </c>
      <c r="H37" s="56" t="s">
        <v>11</v>
      </c>
      <c r="I37" s="56" t="s">
        <v>22</v>
      </c>
      <c r="J37" s="56" t="s">
        <v>3</v>
      </c>
    </row>
    <row r="38" spans="1:10" s="3" customFormat="1" x14ac:dyDescent="0.25">
      <c r="A38" s="60"/>
      <c r="B38" s="68">
        <v>0</v>
      </c>
      <c r="C38" s="61"/>
      <c r="E38" s="24"/>
      <c r="F38" s="68">
        <v>0</v>
      </c>
      <c r="G38" s="66"/>
      <c r="H38" s="53"/>
      <c r="I38" s="53"/>
      <c r="J38" s="53"/>
    </row>
    <row r="39" spans="1:10" x14ac:dyDescent="0.25">
      <c r="A39" s="47" t="s">
        <v>32</v>
      </c>
      <c r="B39" s="88">
        <f>SUM(Tabela717253443515967[Valor])</f>
        <v>0</v>
      </c>
      <c r="E39" s="47" t="s">
        <v>32</v>
      </c>
      <c r="F39" s="15">
        <f>SUM(Tabela412233141495765[Valor])</f>
        <v>0</v>
      </c>
    </row>
    <row r="40" spans="1:10" x14ac:dyDescent="0.25">
      <c r="A40" s="47" t="s">
        <v>38</v>
      </c>
      <c r="B40" s="15">
        <f>AVERAGE(Tabela717253443515967[Valor])</f>
        <v>0</v>
      </c>
      <c r="E40" s="47" t="s">
        <v>37</v>
      </c>
      <c r="F40" s="15">
        <f>AVERAGE(Tabela412233141495765[Valor])</f>
        <v>0</v>
      </c>
    </row>
    <row r="41" spans="1:10" x14ac:dyDescent="0.25">
      <c r="E41" s="44"/>
      <c r="F41" s="41"/>
    </row>
    <row r="42" spans="1:10" x14ac:dyDescent="0.25">
      <c r="A42" s="44"/>
      <c r="B42" s="41"/>
      <c r="C42" s="3"/>
      <c r="E42" s="44"/>
      <c r="F42" s="41"/>
    </row>
    <row r="43" spans="1:10" x14ac:dyDescent="0.25">
      <c r="E43" s="44"/>
      <c r="F43" s="41"/>
    </row>
    <row r="44" spans="1:10" x14ac:dyDescent="0.25">
      <c r="B44" t="s">
        <v>72</v>
      </c>
      <c r="F44" t="s">
        <v>72</v>
      </c>
    </row>
    <row r="45" spans="1:10" ht="18.75" x14ac:dyDescent="0.3">
      <c r="A45" s="56" t="s">
        <v>43</v>
      </c>
      <c r="B45" s="8" t="s">
        <v>2</v>
      </c>
      <c r="C45" s="8" t="s">
        <v>13</v>
      </c>
      <c r="E45" s="37" t="s">
        <v>7</v>
      </c>
      <c r="F45" s="37" t="s">
        <v>2</v>
      </c>
      <c r="G45" s="37" t="s">
        <v>14</v>
      </c>
      <c r="H45" s="37" t="s">
        <v>13</v>
      </c>
    </row>
    <row r="46" spans="1:10" x14ac:dyDescent="0.25">
      <c r="A46" s="21"/>
      <c r="B46" s="73">
        <v>0</v>
      </c>
      <c r="C46" s="22"/>
      <c r="E46" s="53" t="s">
        <v>15</v>
      </c>
      <c r="F46" s="68">
        <v>202</v>
      </c>
      <c r="G46" s="53">
        <v>39</v>
      </c>
      <c r="H46" s="66">
        <v>44411</v>
      </c>
    </row>
    <row r="47" spans="1:10" x14ac:dyDescent="0.25">
      <c r="A47" s="47" t="s">
        <v>32</v>
      </c>
      <c r="B47" s="87">
        <f>SUM(B46:B46)</f>
        <v>0</v>
      </c>
      <c r="E47" s="53" t="s">
        <v>19</v>
      </c>
      <c r="F47" s="68">
        <v>90.91</v>
      </c>
      <c r="G47" s="53">
        <v>21</v>
      </c>
      <c r="H47" s="66">
        <v>44411</v>
      </c>
    </row>
    <row r="48" spans="1:10" x14ac:dyDescent="0.25">
      <c r="A48" s="47" t="s">
        <v>38</v>
      </c>
      <c r="B48" s="19">
        <f>AVERAGE(Tabela7418263544526068[Valor])</f>
        <v>0</v>
      </c>
      <c r="E48" s="53" t="s">
        <v>19</v>
      </c>
      <c r="F48" s="68">
        <v>120</v>
      </c>
      <c r="G48" s="53">
        <v>18</v>
      </c>
      <c r="H48" s="66">
        <v>44421</v>
      </c>
    </row>
    <row r="49" spans="2:14" x14ac:dyDescent="0.25">
      <c r="E49" s="53" t="s">
        <v>15</v>
      </c>
      <c r="F49" s="68">
        <v>235</v>
      </c>
      <c r="G49" s="53">
        <v>45</v>
      </c>
      <c r="H49" s="66">
        <v>44427</v>
      </c>
    </row>
    <row r="50" spans="2:14" x14ac:dyDescent="0.25">
      <c r="E50" s="53" t="s">
        <v>35</v>
      </c>
      <c r="F50" s="68">
        <v>20</v>
      </c>
      <c r="G50" s="53">
        <v>8</v>
      </c>
      <c r="H50" s="66">
        <v>44433</v>
      </c>
    </row>
    <row r="51" spans="2:14" x14ac:dyDescent="0.25">
      <c r="E51" s="53" t="s">
        <v>35</v>
      </c>
      <c r="F51" s="68">
        <v>33</v>
      </c>
      <c r="G51" s="53">
        <v>8</v>
      </c>
      <c r="H51" s="66">
        <v>44435</v>
      </c>
    </row>
    <row r="52" spans="2:14" x14ac:dyDescent="0.25">
      <c r="B52" s="14"/>
      <c r="C52" s="14"/>
      <c r="E52" s="53" t="s">
        <v>35</v>
      </c>
      <c r="F52" s="68">
        <v>31.95</v>
      </c>
      <c r="G52" s="53">
        <v>5</v>
      </c>
      <c r="H52" s="66">
        <v>44439</v>
      </c>
    </row>
    <row r="53" spans="2:14" x14ac:dyDescent="0.25">
      <c r="B53" s="14"/>
      <c r="C53" s="14"/>
      <c r="E53" s="47" t="s">
        <v>32</v>
      </c>
      <c r="F53" s="15">
        <f>SUM(Tabela613243242505866[Valor])</f>
        <v>732.86</v>
      </c>
      <c r="I53" s="14"/>
      <c r="J53" s="14"/>
    </row>
    <row r="54" spans="2:14" ht="18.75" x14ac:dyDescent="0.3">
      <c r="B54" s="14"/>
      <c r="C54" s="14"/>
      <c r="E54" s="47" t="s">
        <v>38</v>
      </c>
      <c r="F54" s="15">
        <f>AVERAGE(Tabela613243242505866[Valor])</f>
        <v>104.69428571428571</v>
      </c>
      <c r="I54" s="17"/>
      <c r="J54" s="14"/>
    </row>
    <row r="55" spans="2:14" x14ac:dyDescent="0.25">
      <c r="B55" s="14"/>
      <c r="C55" s="14"/>
      <c r="I55" s="5"/>
      <c r="J55" s="5"/>
    </row>
    <row r="56" spans="2:14" x14ac:dyDescent="0.25">
      <c r="B56" s="14"/>
      <c r="C56" s="14"/>
      <c r="I56" s="14"/>
      <c r="J56" s="14"/>
    </row>
    <row r="57" spans="2:14" x14ac:dyDescent="0.25">
      <c r="B57" s="14"/>
      <c r="C57" s="14"/>
      <c r="I57" s="14"/>
      <c r="J57" s="14"/>
    </row>
    <row r="58" spans="2:14" ht="15" customHeight="1" x14ac:dyDescent="0.25">
      <c r="B58" s="14"/>
      <c r="C58" s="14"/>
      <c r="I58" s="14"/>
      <c r="J58" s="14"/>
    </row>
    <row r="59" spans="2:14" ht="15" customHeight="1" x14ac:dyDescent="0.25">
      <c r="B59" s="14"/>
      <c r="C59" s="14"/>
      <c r="I59" s="14"/>
      <c r="J59" s="14"/>
    </row>
    <row r="60" spans="2:14" ht="15" customHeight="1" x14ac:dyDescent="0.25">
      <c r="B60" s="14"/>
      <c r="C60" s="14"/>
      <c r="D60" s="14"/>
      <c r="I60" s="14"/>
      <c r="J60" s="14"/>
      <c r="K60" s="14"/>
      <c r="L60" s="14"/>
      <c r="M60" s="14"/>
      <c r="N60" s="14"/>
    </row>
    <row r="61" spans="2:14" ht="13.5" customHeight="1" x14ac:dyDescent="0.25">
      <c r="B61" s="14"/>
      <c r="C61" s="14"/>
      <c r="D61" s="14"/>
      <c r="H61" s="14"/>
      <c r="I61" s="14"/>
      <c r="J61" s="14"/>
      <c r="K61" s="14"/>
      <c r="L61" s="14"/>
      <c r="M61" s="14"/>
      <c r="N61" s="14"/>
    </row>
    <row r="62" spans="2:14" ht="16.5" customHeight="1" x14ac:dyDescent="0.25">
      <c r="B62" s="14"/>
      <c r="C62" s="14"/>
      <c r="D62" s="14"/>
      <c r="H62" s="14"/>
      <c r="I62" s="14"/>
      <c r="J62" s="14"/>
      <c r="K62" s="14"/>
      <c r="L62" s="14"/>
      <c r="M62" s="14"/>
      <c r="N62" s="14"/>
    </row>
    <row r="63" spans="2:14" ht="15" customHeight="1" x14ac:dyDescent="0.25">
      <c r="B63" s="14"/>
      <c r="C63" s="14"/>
      <c r="D63" s="14"/>
      <c r="H63" s="14"/>
      <c r="I63" s="49"/>
      <c r="J63" s="49"/>
      <c r="K63" s="14"/>
      <c r="L63" s="14"/>
      <c r="M63" s="14"/>
      <c r="N63" s="14"/>
    </row>
    <row r="64" spans="2:14" ht="15" customHeight="1" x14ac:dyDescent="0.25">
      <c r="D64" s="14"/>
      <c r="H64" s="49"/>
      <c r="I64" s="14"/>
      <c r="J64" s="14"/>
      <c r="K64" s="14"/>
      <c r="L64" s="14"/>
      <c r="M64" s="14"/>
      <c r="N64" s="14"/>
    </row>
    <row r="65" spans="4:14" ht="16.5" customHeight="1" x14ac:dyDescent="0.25">
      <c r="D65" s="14"/>
      <c r="H65" s="14"/>
      <c r="I65" s="14"/>
      <c r="J65" s="14"/>
      <c r="K65" s="14"/>
      <c r="L65" s="14"/>
      <c r="M65" s="14"/>
      <c r="N65" s="14"/>
    </row>
    <row r="66" spans="4:14" ht="18" customHeight="1" x14ac:dyDescent="0.25">
      <c r="D66" s="14"/>
      <c r="H66" s="14"/>
      <c r="I66" s="14"/>
      <c r="J66" s="14"/>
      <c r="K66" s="14"/>
      <c r="L66" s="14"/>
      <c r="M66" s="14"/>
      <c r="N66" s="14"/>
    </row>
    <row r="67" spans="4:14" ht="15.75" customHeight="1" x14ac:dyDescent="0.25">
      <c r="D67" s="14"/>
      <c r="H67" s="14"/>
      <c r="I67" s="14"/>
      <c r="J67" s="14"/>
      <c r="K67" s="14"/>
      <c r="L67" s="14"/>
      <c r="M67" s="14"/>
      <c r="N67" s="14"/>
    </row>
    <row r="68" spans="4:14" ht="15" customHeight="1" x14ac:dyDescent="0.25">
      <c r="D68" s="14"/>
      <c r="H68" s="14"/>
      <c r="I68" s="14"/>
      <c r="J68" s="14"/>
      <c r="K68" s="14"/>
      <c r="L68" s="14"/>
      <c r="M68" s="14"/>
      <c r="N68" s="14"/>
    </row>
    <row r="69" spans="4:14" ht="15" customHeight="1" x14ac:dyDescent="0.25">
      <c r="D69" s="14"/>
      <c r="H69" s="14"/>
      <c r="I69" s="14"/>
      <c r="J69" s="14"/>
      <c r="K69" s="14"/>
      <c r="L69" s="14"/>
      <c r="M69" s="14"/>
      <c r="N69" s="14"/>
    </row>
    <row r="70" spans="4:14" ht="15" customHeight="1" x14ac:dyDescent="0.25">
      <c r="D70" s="49"/>
      <c r="H70" s="14"/>
      <c r="I70" s="14"/>
      <c r="J70" s="14"/>
      <c r="K70" s="14"/>
      <c r="L70" s="116"/>
      <c r="M70" s="116"/>
      <c r="N70" s="116"/>
    </row>
    <row r="71" spans="4:14" ht="15" customHeight="1" x14ac:dyDescent="0.25">
      <c r="D71" s="14"/>
      <c r="H71" s="14"/>
      <c r="I71" s="14"/>
      <c r="J71" s="14"/>
      <c r="K71" s="14"/>
      <c r="L71" s="14"/>
      <c r="M71" s="14"/>
      <c r="N71" s="14"/>
    </row>
    <row r="72" spans="4:14" ht="15" customHeight="1" x14ac:dyDescent="0.25">
      <c r="D72" s="14"/>
      <c r="H72" s="14"/>
      <c r="I72" s="14"/>
      <c r="J72" s="14"/>
      <c r="K72" s="14"/>
      <c r="L72" s="14"/>
      <c r="M72" s="14"/>
      <c r="N72" s="14"/>
    </row>
    <row r="73" spans="4:14" ht="15" customHeight="1" x14ac:dyDescent="0.25">
      <c r="D73" s="14"/>
      <c r="H73" s="14"/>
      <c r="I73" s="14"/>
      <c r="J73" s="14"/>
      <c r="K73" s="14"/>
      <c r="L73" s="14"/>
      <c r="M73" s="14"/>
      <c r="N73" s="14"/>
    </row>
    <row r="74" spans="4:14" ht="15" customHeight="1" x14ac:dyDescent="0.25">
      <c r="D74" s="14"/>
      <c r="H74" s="14"/>
      <c r="I74" s="14"/>
      <c r="J74" s="14"/>
      <c r="K74" s="14"/>
      <c r="L74" s="14"/>
      <c r="M74" s="14"/>
      <c r="N74" s="14"/>
    </row>
    <row r="75" spans="4:14" ht="15" customHeight="1" x14ac:dyDescent="0.25">
      <c r="D75" s="14"/>
      <c r="H75" s="14"/>
      <c r="I75" s="14"/>
      <c r="J75" s="14"/>
      <c r="K75" s="14"/>
      <c r="L75" s="14"/>
      <c r="M75" s="14"/>
      <c r="N75" s="14"/>
    </row>
    <row r="76" spans="4:14" ht="15" customHeight="1" x14ac:dyDescent="0.25">
      <c r="D76" s="14"/>
      <c r="E76" s="14"/>
      <c r="F76" s="14"/>
      <c r="G76" s="14"/>
      <c r="H76" s="14"/>
      <c r="I76" s="14"/>
      <c r="J76" s="14"/>
      <c r="K76" s="14"/>
      <c r="L76" s="14"/>
      <c r="M76" s="14"/>
      <c r="N76" s="14"/>
    </row>
    <row r="77" spans="4:14" ht="15" customHeight="1" x14ac:dyDescent="0.25">
      <c r="D77" s="14"/>
      <c r="E77" s="14"/>
      <c r="F77" s="14"/>
      <c r="G77" s="14"/>
      <c r="H77" s="14"/>
      <c r="I77" s="14"/>
      <c r="J77" s="14"/>
      <c r="K77" s="14"/>
      <c r="L77" s="14"/>
      <c r="M77" s="14"/>
      <c r="N77" s="14"/>
    </row>
    <row r="78" spans="4:14" ht="15" customHeight="1" x14ac:dyDescent="0.25">
      <c r="D78" s="14"/>
      <c r="E78" s="14"/>
      <c r="F78" s="14"/>
      <c r="G78" s="14"/>
      <c r="H78" s="14"/>
      <c r="K78" s="14"/>
      <c r="L78" s="14"/>
      <c r="M78" s="14"/>
      <c r="N78" s="14"/>
    </row>
    <row r="79" spans="4:14" ht="15" customHeight="1" x14ac:dyDescent="0.25">
      <c r="D79" s="14"/>
      <c r="K79" s="14"/>
      <c r="L79" s="14"/>
      <c r="M79" s="14"/>
      <c r="N79" s="14"/>
    </row>
    <row r="80" spans="4:14" ht="15" customHeight="1" x14ac:dyDescent="0.25">
      <c r="D80" s="14"/>
      <c r="K80" s="14"/>
      <c r="L80" s="14"/>
      <c r="M80" s="14"/>
      <c r="N80" s="14"/>
    </row>
    <row r="81" spans="4:14" ht="15" customHeight="1" x14ac:dyDescent="0.25">
      <c r="D81" s="14"/>
      <c r="K81" s="14"/>
      <c r="L81" s="14"/>
      <c r="M81" s="14"/>
      <c r="N81" s="14"/>
    </row>
    <row r="82" spans="4:14" x14ac:dyDescent="0.25">
      <c r="D82" s="14"/>
      <c r="K82" s="14"/>
      <c r="L82" s="14"/>
      <c r="M82" s="14"/>
      <c r="N82" s="14"/>
    </row>
    <row r="83" spans="4:14" x14ac:dyDescent="0.25">
      <c r="D83" s="14"/>
      <c r="K83" s="14"/>
      <c r="L83" s="14"/>
      <c r="M83" s="14"/>
      <c r="N83" s="14"/>
    </row>
    <row r="84" spans="4:14" x14ac:dyDescent="0.25">
      <c r="D84" s="14"/>
      <c r="K84" s="14"/>
      <c r="L84" s="14"/>
      <c r="M84" s="14"/>
      <c r="N84" s="14"/>
    </row>
  </sheetData>
  <mergeCells count="2">
    <mergeCell ref="A17:B17"/>
    <mergeCell ref="L70:N70"/>
  </mergeCells>
  <conditionalFormatting sqref="A17">
    <cfRule type="dataBar" priority="4">
      <dataBar>
        <cfvo type="num" val="0"/>
        <cfvo type="num" val="1"/>
        <color theme="4" tint="0.39997558519241921"/>
      </dataBar>
      <extLst>
        <ext xmlns:x14="http://schemas.microsoft.com/office/spreadsheetml/2009/9/main" uri="{B025F937-C7B1-47D3-B67F-A62EFF666E3E}">
          <x14:id>{EA1278F5-0A01-46C9-A954-AE988B1A0432}</x14:id>
        </ext>
      </extLst>
    </cfRule>
  </conditionalFormatting>
  <conditionalFormatting sqref="A17:B17">
    <cfRule type="containsText" dxfId="19" priority="5" operator="containsText" text="Mais de 100%">
      <formula>NOT(ISERROR(SEARCH("Mais de 100%",A17)))</formula>
    </cfRule>
  </conditionalFormatting>
  <conditionalFormatting sqref="J26:J31">
    <cfRule type="containsText" dxfId="18" priority="2" operator="containsText" text="Pagar">
      <formula>NOT(ISERROR(SEARCH("Pagar",J26)))</formula>
    </cfRule>
  </conditionalFormatting>
  <conditionalFormatting sqref="B14">
    <cfRule type="cellIs" dxfId="17" priority="1" operator="lessThan">
      <formula>0</formula>
    </cfRule>
  </conditionalFormatting>
  <pageMargins left="0.511811024" right="0.511811024" top="0.78740157499999996" bottom="0.78740157499999996" header="0.31496062000000002" footer="0.31496062000000002"/>
  <pageSetup paperSize="9" orientation="portrait" horizontalDpi="0" verticalDpi="0" r:id="rId1"/>
  <drawing r:id="rId2"/>
  <legacyDrawing r:id="rId3"/>
  <tableParts count="8">
    <tablePart r:id="rId4"/>
    <tablePart r:id="rId5"/>
    <tablePart r:id="rId6"/>
    <tablePart r:id="rId7"/>
    <tablePart r:id="rId8"/>
    <tablePart r:id="rId9"/>
    <tablePart r:id="rId10"/>
    <tablePart r:id="rId11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A1278F5-0A01-46C9-A954-AE988B1A0432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A17</xm:sqref>
        </x14:conditionalFormatting>
        <x14:conditionalFormatting xmlns:xm="http://schemas.microsoft.com/office/excel/2006/main">
          <x14:cfRule type="containsText" priority="3" operator="containsText" id="{5EB9227E-A9FE-48BF-9431-0EEA93F1D031}">
            <xm:f>NOT(ISERROR(SEARCH(Pagar,J38)))</xm:f>
            <xm:f>Pagar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J38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3D79C2-EB3B-408D-84F3-6F77FDFACF0C}">
  <sheetPr codeName="Planilha13"/>
  <dimension ref="A1:XFC84"/>
  <sheetViews>
    <sheetView showGridLines="0" topLeftCell="A22" zoomScale="86" zoomScaleNormal="86" workbookViewId="0">
      <selection activeCell="B46" sqref="B46"/>
    </sheetView>
  </sheetViews>
  <sheetFormatPr defaultColWidth="0" defaultRowHeight="15" x14ac:dyDescent="0.25"/>
  <cols>
    <col min="1" max="1" width="22.42578125" customWidth="1"/>
    <col min="2" max="2" width="16.7109375" customWidth="1"/>
    <col min="3" max="3" width="14.85546875" customWidth="1"/>
    <col min="4" max="4" width="18.140625" customWidth="1"/>
    <col min="5" max="5" width="29.7109375" customWidth="1"/>
    <col min="6" max="6" width="17.140625" customWidth="1"/>
    <col min="7" max="7" width="26" customWidth="1"/>
    <col min="8" max="8" width="25" bestFit="1" customWidth="1"/>
    <col min="9" max="9" width="26.5703125" bestFit="1" customWidth="1"/>
    <col min="10" max="10" width="13" customWidth="1"/>
    <col min="11" max="11" width="12" customWidth="1"/>
    <col min="12" max="12" width="19.5703125" hidden="1" customWidth="1"/>
    <col min="13" max="13" width="16" hidden="1" customWidth="1"/>
    <col min="14" max="14" width="17.85546875" customWidth="1"/>
    <col min="16382" max="16382" width="1.7109375" hidden="1"/>
    <col min="16383" max="16383" width="7.28515625" hidden="1"/>
  </cols>
  <sheetData>
    <row r="1" spans="1:14" s="1" customFormat="1" ht="34.5" customHeight="1" x14ac:dyDescent="0.25">
      <c r="A1" s="12" t="s">
        <v>24</v>
      </c>
      <c r="B1" s="12"/>
      <c r="C1" s="12"/>
      <c r="D1" s="12"/>
      <c r="E1" s="12"/>
      <c r="F1" s="12"/>
      <c r="G1" s="12"/>
      <c r="H1" s="12"/>
      <c r="I1" s="12"/>
      <c r="J1" s="12"/>
      <c r="K1" s="12"/>
      <c r="L1" s="12"/>
      <c r="M1" s="12"/>
      <c r="N1" s="12"/>
    </row>
    <row r="2" spans="1:14" s="1" customFormat="1" ht="18" customHeight="1" x14ac:dyDescent="0.25">
      <c r="A2" s="12"/>
      <c r="B2" s="12"/>
      <c r="C2" s="12"/>
      <c r="D2" s="12"/>
      <c r="E2" s="12"/>
      <c r="F2" s="12"/>
      <c r="G2" s="12"/>
      <c r="H2" s="12"/>
      <c r="I2" s="12"/>
      <c r="J2" s="12"/>
      <c r="K2" s="12"/>
      <c r="L2" s="12"/>
      <c r="M2" s="12"/>
      <c r="N2" s="12"/>
    </row>
    <row r="3" spans="1:14" ht="21.75" customHeight="1" x14ac:dyDescent="0.25">
      <c r="C3" s="3"/>
    </row>
    <row r="4" spans="1:14" ht="21.75" customHeight="1" x14ac:dyDescent="0.3">
      <c r="A4" s="33" t="s">
        <v>45</v>
      </c>
      <c r="B4" s="37" t="s">
        <v>28</v>
      </c>
      <c r="C4" s="3"/>
    </row>
    <row r="5" spans="1:14" ht="15" customHeight="1" x14ac:dyDescent="0.25">
      <c r="A5" t="s">
        <v>25</v>
      </c>
      <c r="B5" s="6">
        <f>1800</f>
        <v>1800</v>
      </c>
      <c r="C5" s="3"/>
    </row>
    <row r="6" spans="1:14" ht="15" customHeight="1" x14ac:dyDescent="0.25">
      <c r="A6" t="s">
        <v>26</v>
      </c>
      <c r="B6" s="6"/>
      <c r="C6" s="3"/>
    </row>
    <row r="7" spans="1:14" ht="15" customHeight="1" x14ac:dyDescent="0.25">
      <c r="A7" t="s">
        <v>27</v>
      </c>
      <c r="B7" s="40">
        <f>B27</f>
        <v>0</v>
      </c>
      <c r="C7" s="3"/>
    </row>
    <row r="8" spans="1:14" ht="15" customHeight="1" x14ac:dyDescent="0.25">
      <c r="A8" t="s">
        <v>29</v>
      </c>
      <c r="B8" s="6"/>
      <c r="C8" s="3"/>
    </row>
    <row r="9" spans="1:14" ht="15" customHeight="1" x14ac:dyDescent="0.25">
      <c r="A9" s="24" t="s">
        <v>32</v>
      </c>
      <c r="B9" s="25">
        <f>SUM(B5:B8)</f>
        <v>1800</v>
      </c>
      <c r="C9" s="3"/>
    </row>
    <row r="10" spans="1:14" ht="15" customHeight="1" x14ac:dyDescent="0.25">
      <c r="C10" s="3"/>
    </row>
    <row r="11" spans="1:14" ht="17.25" customHeight="1" x14ac:dyDescent="0.3">
      <c r="A11" s="34" t="s">
        <v>46</v>
      </c>
      <c r="B11" s="38" t="s">
        <v>30</v>
      </c>
      <c r="C11" s="28"/>
    </row>
    <row r="12" spans="1:14" ht="15" customHeight="1" x14ac:dyDescent="0.25">
      <c r="A12" s="6" t="s">
        <v>34</v>
      </c>
      <c r="B12" s="13">
        <f>B5+B7</f>
        <v>1800</v>
      </c>
      <c r="C12" s="4"/>
    </row>
    <row r="13" spans="1:14" ht="15" customHeight="1" x14ac:dyDescent="0.25">
      <c r="A13" s="26" t="s">
        <v>31</v>
      </c>
      <c r="B13" s="63">
        <f>F32+F40+F50+B40+B47</f>
        <v>1672.2799999999997</v>
      </c>
      <c r="C13" s="4"/>
    </row>
    <row r="14" spans="1:14" ht="15" customHeight="1" x14ac:dyDescent="0.25">
      <c r="A14" s="25" t="s">
        <v>39</v>
      </c>
      <c r="B14" s="48">
        <f>B12-B13</f>
        <v>127.72000000000025</v>
      </c>
      <c r="C14" s="4"/>
    </row>
    <row r="15" spans="1:14" ht="15.75" thickBot="1" x14ac:dyDescent="0.3">
      <c r="C15" s="4"/>
    </row>
    <row r="16" spans="1:14" ht="15.75" x14ac:dyDescent="0.25">
      <c r="A16" s="31" t="s">
        <v>47</v>
      </c>
      <c r="B16" s="32"/>
      <c r="C16" s="29"/>
    </row>
    <row r="17" spans="1:10" ht="15.75" thickBot="1" x14ac:dyDescent="0.3">
      <c r="A17" s="117">
        <f>IF(B13&lt;B12,((B13*100/B12)/100),"Mais de 100% do ganho mensal")</f>
        <v>0.92904444444444423</v>
      </c>
      <c r="B17" s="118"/>
      <c r="C17" s="3"/>
    </row>
    <row r="18" spans="1:10" x14ac:dyDescent="0.25">
      <c r="C18" s="30"/>
    </row>
    <row r="19" spans="1:10" x14ac:dyDescent="0.25">
      <c r="C19" s="30"/>
    </row>
    <row r="20" spans="1:10" x14ac:dyDescent="0.25">
      <c r="C20" s="30"/>
    </row>
    <row r="21" spans="1:10" x14ac:dyDescent="0.25">
      <c r="C21" s="30"/>
    </row>
    <row r="22" spans="1:10" x14ac:dyDescent="0.25">
      <c r="C22" s="30"/>
    </row>
    <row r="23" spans="1:10" x14ac:dyDescent="0.25">
      <c r="C23" s="30"/>
      <c r="G23" s="7"/>
    </row>
    <row r="24" spans="1:10" x14ac:dyDescent="0.25">
      <c r="C24" s="45"/>
    </row>
    <row r="25" spans="1:10" x14ac:dyDescent="0.25">
      <c r="A25" s="35" t="s">
        <v>27</v>
      </c>
      <c r="B25" s="8" t="s">
        <v>2</v>
      </c>
      <c r="C25" s="8" t="s">
        <v>13</v>
      </c>
      <c r="E25" s="70" t="s">
        <v>12</v>
      </c>
      <c r="F25" s="70" t="s">
        <v>2</v>
      </c>
      <c r="G25" s="70" t="s">
        <v>0</v>
      </c>
      <c r="H25" s="70" t="s">
        <v>1</v>
      </c>
      <c r="I25" s="70" t="s">
        <v>10</v>
      </c>
      <c r="J25" s="70" t="s">
        <v>3</v>
      </c>
    </row>
    <row r="26" spans="1:10" x14ac:dyDescent="0.25">
      <c r="A26" s="21"/>
      <c r="B26" s="73">
        <v>0</v>
      </c>
      <c r="C26" s="20"/>
      <c r="E26" s="53" t="s">
        <v>8</v>
      </c>
      <c r="F26" s="68">
        <v>486.39</v>
      </c>
      <c r="G26" s="66">
        <v>44449</v>
      </c>
      <c r="H26" s="66">
        <v>44472</v>
      </c>
      <c r="I26" s="53">
        <f t="shared" ref="I26:I31" si="0">IF(H26="","Sem data",IF(H26-G26&lt;0,"Pago antes do vencimento",H26-G26))</f>
        <v>23</v>
      </c>
      <c r="J26" s="53" t="str">
        <f t="shared" ref="J26" si="1">IF(I26:I31="Sem data","Pagar","Pago")</f>
        <v>Pago</v>
      </c>
    </row>
    <row r="27" spans="1:10" x14ac:dyDescent="0.25">
      <c r="A27" s="47" t="s">
        <v>32</v>
      </c>
      <c r="B27" s="23">
        <f>SUM(Tabela7461927374553616977[Valor])</f>
        <v>0</v>
      </c>
      <c r="E27" s="53" t="s">
        <v>4</v>
      </c>
      <c r="F27" s="68">
        <v>208</v>
      </c>
      <c r="G27" s="66">
        <v>44464</v>
      </c>
      <c r="H27" s="66">
        <v>44472</v>
      </c>
      <c r="I27" s="53">
        <f>IF(H27="","Sem data",IF(H27-G27&lt;0,"Pago antes do vencimento",H27-G27))</f>
        <v>8</v>
      </c>
      <c r="J27" s="53" t="str">
        <f>IF(I27:I32="Sem data","Pagar","Pago")</f>
        <v>Pago</v>
      </c>
    </row>
    <row r="28" spans="1:10" x14ac:dyDescent="0.25">
      <c r="A28" s="47" t="s">
        <v>37</v>
      </c>
      <c r="B28" s="43">
        <f>AVERAGE(Tabela7461927374553616977[Valor])</f>
        <v>0</v>
      </c>
      <c r="E28" s="53" t="s">
        <v>9</v>
      </c>
      <c r="F28" s="68">
        <v>254</v>
      </c>
      <c r="G28" s="66">
        <v>44448</v>
      </c>
      <c r="H28" s="66">
        <v>44478</v>
      </c>
      <c r="I28" s="53">
        <f t="shared" si="0"/>
        <v>30</v>
      </c>
      <c r="J28" s="53" t="str">
        <f>IF(I28:I33="Sem data","Pagar","Pago")</f>
        <v>Pago</v>
      </c>
    </row>
    <row r="29" spans="1:10" x14ac:dyDescent="0.25">
      <c r="E29" s="53" t="s">
        <v>6</v>
      </c>
      <c r="F29" s="68">
        <v>166</v>
      </c>
      <c r="G29" s="66">
        <v>44449</v>
      </c>
      <c r="H29" s="66">
        <v>44459</v>
      </c>
      <c r="I29" s="53">
        <f>IF(H29="","Sem data",IF(H29-G29&lt;0,"Pago antes do vencimento",H29-G29))</f>
        <v>10</v>
      </c>
      <c r="J29" s="53" t="str">
        <f>IF(I29:I34="Sem data","Pagar","Pago")</f>
        <v>Pago</v>
      </c>
    </row>
    <row r="30" spans="1:10" x14ac:dyDescent="0.25">
      <c r="E30" s="53" t="s">
        <v>5</v>
      </c>
      <c r="F30" s="68">
        <v>115</v>
      </c>
      <c r="G30" s="66">
        <v>44449</v>
      </c>
      <c r="H30" s="66">
        <v>44452</v>
      </c>
      <c r="I30" s="53">
        <f t="shared" si="0"/>
        <v>3</v>
      </c>
      <c r="J30" s="53" t="str">
        <f>IF(I30:I35="Sem data","Pagar","Pago")</f>
        <v>Pago</v>
      </c>
    </row>
    <row r="31" spans="1:10" x14ac:dyDescent="0.25">
      <c r="E31" s="53" t="s">
        <v>33</v>
      </c>
      <c r="F31" s="68">
        <v>0</v>
      </c>
      <c r="G31" s="66">
        <v>44440</v>
      </c>
      <c r="H31" s="66"/>
      <c r="I31" s="53" t="str">
        <f t="shared" si="0"/>
        <v>Sem data</v>
      </c>
      <c r="J31" s="53" t="str">
        <f>IF(I31:I36="Sem data","Pagar","Pago")</f>
        <v>Pagar</v>
      </c>
    </row>
    <row r="32" spans="1:10" x14ac:dyDescent="0.25">
      <c r="A32" s="3"/>
      <c r="B32" s="41"/>
      <c r="C32" s="3"/>
      <c r="E32" s="47" t="s">
        <v>32</v>
      </c>
      <c r="F32" s="43">
        <f>SUM(Tabela321021293947556371[Valor])</f>
        <v>1229.3899999999999</v>
      </c>
    </row>
    <row r="33" spans="1:10" x14ac:dyDescent="0.25">
      <c r="A33" s="3"/>
      <c r="B33" s="41"/>
      <c r="C33" s="3"/>
      <c r="E33" s="47" t="s">
        <v>36</v>
      </c>
      <c r="F33" s="43">
        <f>AVERAGE(Tabela321021293947556371[Valor])</f>
        <v>204.89833333333331</v>
      </c>
    </row>
    <row r="34" spans="1:10" x14ac:dyDescent="0.25">
      <c r="A34" s="3"/>
      <c r="B34" s="41"/>
      <c r="C34" s="2"/>
    </row>
    <row r="35" spans="1:10" ht="15.75" x14ac:dyDescent="0.25">
      <c r="A35" s="3"/>
      <c r="B35" s="3"/>
      <c r="C35" s="3"/>
      <c r="G35" s="46"/>
    </row>
    <row r="36" spans="1:10" s="3" customFormat="1" x14ac:dyDescent="0.25"/>
    <row r="37" spans="1:10" s="3" customFormat="1" x14ac:dyDescent="0.25"/>
    <row r="38" spans="1:10" s="3" customFormat="1" x14ac:dyDescent="0.25">
      <c r="A38" s="35" t="s">
        <v>42</v>
      </c>
      <c r="B38" s="8" t="s">
        <v>2</v>
      </c>
      <c r="C38" s="8" t="s">
        <v>13</v>
      </c>
      <c r="E38" s="16" t="s">
        <v>40</v>
      </c>
      <c r="F38" s="8" t="s">
        <v>2</v>
      </c>
      <c r="G38" s="8" t="s">
        <v>1</v>
      </c>
      <c r="H38" s="8" t="s">
        <v>11</v>
      </c>
      <c r="I38" s="8" t="s">
        <v>22</v>
      </c>
      <c r="J38" s="8" t="s">
        <v>3</v>
      </c>
    </row>
    <row r="39" spans="1:10" ht="15.75" x14ac:dyDescent="0.25">
      <c r="A39" s="72"/>
      <c r="B39" s="73">
        <v>0</v>
      </c>
      <c r="C39" s="77"/>
      <c r="E39" s="74" t="s">
        <v>80</v>
      </c>
      <c r="F39" s="76">
        <v>45</v>
      </c>
      <c r="G39" s="75">
        <v>44482</v>
      </c>
      <c r="H39" s="74" t="s">
        <v>81</v>
      </c>
      <c r="I39" s="74" t="s">
        <v>21</v>
      </c>
      <c r="J39" s="74" t="s">
        <v>20</v>
      </c>
    </row>
    <row r="40" spans="1:10" x14ac:dyDescent="0.25">
      <c r="A40" s="47" t="s">
        <v>32</v>
      </c>
      <c r="B40" s="43">
        <f>SUM(Tabela71725344351596775[Valor])</f>
        <v>0</v>
      </c>
      <c r="E40" s="47" t="s">
        <v>32</v>
      </c>
      <c r="F40" s="43">
        <f>SUM(Tabela41223314149576573[Valor])</f>
        <v>45</v>
      </c>
    </row>
    <row r="41" spans="1:10" x14ac:dyDescent="0.25">
      <c r="A41" s="47" t="s">
        <v>38</v>
      </c>
      <c r="B41" s="43">
        <f>AVERAGE(Tabela71725344351596775[Valor])</f>
        <v>0</v>
      </c>
      <c r="E41" s="47" t="s">
        <v>37</v>
      </c>
      <c r="F41" s="43">
        <f>AVERAGE(Tabela41223314149576573[Valor])</f>
        <v>45</v>
      </c>
    </row>
    <row r="42" spans="1:10" x14ac:dyDescent="0.25">
      <c r="E42" s="44"/>
      <c r="F42" s="41"/>
    </row>
    <row r="43" spans="1:10" x14ac:dyDescent="0.25">
      <c r="E43" s="44"/>
      <c r="F43" s="41"/>
    </row>
    <row r="45" spans="1:10" ht="15.75" x14ac:dyDescent="0.25">
      <c r="A45" s="36" t="s">
        <v>43</v>
      </c>
      <c r="B45" s="8" t="s">
        <v>2</v>
      </c>
      <c r="C45" s="8" t="s">
        <v>13</v>
      </c>
      <c r="E45" s="36" t="s">
        <v>7</v>
      </c>
      <c r="F45" s="8" t="s">
        <v>2</v>
      </c>
      <c r="G45" s="8" t="s">
        <v>14</v>
      </c>
      <c r="H45" s="8" t="s">
        <v>13</v>
      </c>
    </row>
    <row r="46" spans="1:10" x14ac:dyDescent="0.25">
      <c r="A46" s="72"/>
      <c r="B46" s="73">
        <v>0</v>
      </c>
      <c r="C46" s="77"/>
      <c r="E46" s="53" t="s">
        <v>19</v>
      </c>
      <c r="F46" s="68">
        <v>165.28</v>
      </c>
      <c r="G46" s="53">
        <v>19</v>
      </c>
      <c r="H46" s="66">
        <v>44442</v>
      </c>
    </row>
    <row r="47" spans="1:10" x14ac:dyDescent="0.25">
      <c r="A47" s="47" t="s">
        <v>32</v>
      </c>
      <c r="B47" s="23">
        <f>SUM(B46:B46)</f>
        <v>0</v>
      </c>
      <c r="E47" s="53" t="s">
        <v>35</v>
      </c>
      <c r="F47" s="68">
        <v>29</v>
      </c>
      <c r="G47" s="53">
        <v>8</v>
      </c>
      <c r="H47" s="66">
        <v>44443</v>
      </c>
    </row>
    <row r="48" spans="1:10" x14ac:dyDescent="0.25">
      <c r="A48" s="47" t="s">
        <v>38</v>
      </c>
      <c r="B48" s="23">
        <f>AVERAGE(Tabela741826354452606876[Valor])</f>
        <v>0</v>
      </c>
      <c r="E48" s="53" t="s">
        <v>19</v>
      </c>
      <c r="F48" s="68">
        <v>72.61</v>
      </c>
      <c r="G48" s="53">
        <v>8</v>
      </c>
      <c r="H48" s="66">
        <v>44445</v>
      </c>
    </row>
    <row r="49" spans="2:14" x14ac:dyDescent="0.25">
      <c r="E49" s="53" t="s">
        <v>19</v>
      </c>
      <c r="F49" s="68">
        <v>131</v>
      </c>
      <c r="G49" s="53">
        <v>19</v>
      </c>
      <c r="H49" s="66">
        <v>44464</v>
      </c>
    </row>
    <row r="50" spans="2:14" x14ac:dyDescent="0.25">
      <c r="E50" s="47" t="s">
        <v>32</v>
      </c>
      <c r="F50" s="43">
        <f>SUM(Tabela61324324250586674[Valor])</f>
        <v>397.89</v>
      </c>
    </row>
    <row r="51" spans="2:14" x14ac:dyDescent="0.25">
      <c r="E51" s="47" t="s">
        <v>38</v>
      </c>
      <c r="F51" s="43">
        <f>AVERAGE(Tabela61324324250586674[Valor])</f>
        <v>99.472499999999997</v>
      </c>
    </row>
    <row r="52" spans="2:14" x14ac:dyDescent="0.25">
      <c r="B52" s="14"/>
      <c r="C52" s="14"/>
    </row>
    <row r="53" spans="2:14" x14ac:dyDescent="0.25">
      <c r="B53" s="14"/>
      <c r="C53" s="14"/>
      <c r="I53" s="14"/>
      <c r="J53" s="14"/>
    </row>
    <row r="54" spans="2:14" ht="18.75" x14ac:dyDescent="0.3">
      <c r="B54" s="14"/>
      <c r="C54" s="14"/>
      <c r="I54" s="17"/>
      <c r="J54" s="14"/>
    </row>
    <row r="55" spans="2:14" x14ac:dyDescent="0.25">
      <c r="B55" s="14"/>
      <c r="C55" s="14"/>
      <c r="I55" s="5"/>
      <c r="J55" s="5"/>
    </row>
    <row r="56" spans="2:14" x14ac:dyDescent="0.25">
      <c r="B56" s="14"/>
      <c r="C56" s="14"/>
      <c r="I56" s="14"/>
      <c r="J56" s="14"/>
    </row>
    <row r="57" spans="2:14" x14ac:dyDescent="0.25">
      <c r="B57" s="14"/>
      <c r="C57" s="14"/>
      <c r="I57" s="14"/>
      <c r="J57" s="14"/>
    </row>
    <row r="58" spans="2:14" ht="15" customHeight="1" x14ac:dyDescent="0.25">
      <c r="B58" s="14"/>
      <c r="C58" s="14"/>
      <c r="H58" s="14"/>
      <c r="I58" s="14"/>
      <c r="J58" s="14"/>
    </row>
    <row r="59" spans="2:14" ht="15" customHeight="1" x14ac:dyDescent="0.25">
      <c r="B59" s="14"/>
      <c r="C59" s="14"/>
      <c r="H59" s="14"/>
      <c r="I59" s="14"/>
      <c r="J59" s="14"/>
    </row>
    <row r="60" spans="2:14" ht="15" customHeight="1" x14ac:dyDescent="0.25">
      <c r="B60" s="14"/>
      <c r="C60" s="14"/>
      <c r="D60" s="14"/>
      <c r="H60" s="14"/>
      <c r="I60" s="14"/>
      <c r="J60" s="14"/>
      <c r="K60" s="14"/>
      <c r="L60" s="14"/>
      <c r="M60" s="14"/>
      <c r="N60" s="14"/>
    </row>
    <row r="61" spans="2:14" ht="13.5" customHeight="1" x14ac:dyDescent="0.25">
      <c r="B61" s="14"/>
      <c r="C61" s="14"/>
      <c r="D61" s="14"/>
      <c r="H61" s="49"/>
      <c r="I61" s="14"/>
      <c r="J61" s="14"/>
      <c r="K61" s="14"/>
      <c r="L61" s="14"/>
      <c r="M61" s="14"/>
      <c r="N61" s="14"/>
    </row>
    <row r="62" spans="2:14" ht="16.5" customHeight="1" x14ac:dyDescent="0.25">
      <c r="B62" s="14"/>
      <c r="C62" s="14"/>
      <c r="D62" s="14"/>
      <c r="H62" s="14"/>
      <c r="I62" s="14"/>
      <c r="J62" s="14"/>
      <c r="K62" s="14"/>
      <c r="L62" s="14"/>
      <c r="M62" s="14"/>
      <c r="N62" s="14"/>
    </row>
    <row r="63" spans="2:14" ht="15" customHeight="1" x14ac:dyDescent="0.25">
      <c r="B63" s="14"/>
      <c r="C63" s="14"/>
      <c r="D63" s="14"/>
      <c r="H63" s="14"/>
      <c r="I63" s="49"/>
      <c r="J63" s="49"/>
      <c r="K63" s="14"/>
      <c r="L63" s="14"/>
      <c r="M63" s="14"/>
      <c r="N63" s="14"/>
    </row>
    <row r="64" spans="2:14" ht="15" customHeight="1" x14ac:dyDescent="0.25">
      <c r="D64" s="14"/>
      <c r="H64" s="14"/>
      <c r="I64" s="14"/>
      <c r="J64" s="14"/>
      <c r="K64" s="14"/>
      <c r="L64" s="14"/>
      <c r="M64" s="14"/>
      <c r="N64" s="14"/>
    </row>
    <row r="65" spans="4:14" ht="16.5" customHeight="1" x14ac:dyDescent="0.25">
      <c r="D65" s="14"/>
      <c r="H65" s="14"/>
      <c r="I65" s="14"/>
      <c r="J65" s="14"/>
      <c r="K65" s="14"/>
      <c r="L65" s="14"/>
      <c r="M65" s="14"/>
      <c r="N65" s="14"/>
    </row>
    <row r="66" spans="4:14" ht="18" customHeight="1" x14ac:dyDescent="0.25">
      <c r="D66" s="14"/>
      <c r="H66" s="14"/>
      <c r="I66" s="14"/>
      <c r="J66" s="14"/>
      <c r="K66" s="14"/>
      <c r="L66" s="14"/>
      <c r="M66" s="14"/>
      <c r="N66" s="14"/>
    </row>
    <row r="67" spans="4:14" ht="15.75" customHeight="1" x14ac:dyDescent="0.25">
      <c r="D67" s="14"/>
      <c r="H67" s="14"/>
      <c r="I67" s="14"/>
      <c r="J67" s="14"/>
      <c r="K67" s="14"/>
      <c r="L67" s="14"/>
      <c r="M67" s="14"/>
      <c r="N67" s="14"/>
    </row>
    <row r="68" spans="4:14" ht="15" customHeight="1" x14ac:dyDescent="0.25">
      <c r="D68" s="14"/>
      <c r="H68" s="14"/>
      <c r="I68" s="14"/>
      <c r="J68" s="14"/>
      <c r="K68" s="14"/>
      <c r="L68" s="14"/>
      <c r="M68" s="14"/>
      <c r="N68" s="14"/>
    </row>
    <row r="69" spans="4:14" ht="15" customHeight="1" x14ac:dyDescent="0.25">
      <c r="D69" s="14"/>
      <c r="H69" s="14"/>
      <c r="I69" s="14"/>
      <c r="J69" s="14"/>
      <c r="K69" s="14"/>
      <c r="L69" s="14"/>
      <c r="M69" s="14"/>
      <c r="N69" s="14"/>
    </row>
    <row r="70" spans="4:14" ht="15" customHeight="1" x14ac:dyDescent="0.25">
      <c r="D70" s="49"/>
      <c r="H70" s="14"/>
      <c r="I70" s="14"/>
      <c r="J70" s="14"/>
      <c r="K70" s="14"/>
      <c r="L70" s="116"/>
      <c r="M70" s="116"/>
      <c r="N70" s="116"/>
    </row>
    <row r="71" spans="4:14" ht="15" customHeight="1" x14ac:dyDescent="0.25">
      <c r="D71" s="14"/>
      <c r="H71" s="14"/>
      <c r="I71" s="14"/>
      <c r="J71" s="14"/>
      <c r="K71" s="14"/>
      <c r="L71" s="14"/>
      <c r="M71" s="14"/>
      <c r="N71" s="14"/>
    </row>
    <row r="72" spans="4:14" ht="15" customHeight="1" x14ac:dyDescent="0.25">
      <c r="D72" s="14"/>
      <c r="H72" s="14"/>
      <c r="I72" s="14"/>
      <c r="J72" s="14"/>
      <c r="K72" s="14"/>
      <c r="L72" s="14"/>
      <c r="M72" s="14"/>
      <c r="N72" s="14"/>
    </row>
    <row r="73" spans="4:14" ht="15" customHeight="1" x14ac:dyDescent="0.25">
      <c r="D73" s="14"/>
      <c r="E73" s="14"/>
      <c r="F73" s="14"/>
      <c r="G73" s="14"/>
      <c r="H73" s="14"/>
      <c r="I73" s="14"/>
      <c r="J73" s="14"/>
      <c r="K73" s="14"/>
      <c r="L73" s="14"/>
      <c r="M73" s="14"/>
      <c r="N73" s="14"/>
    </row>
    <row r="74" spans="4:14" ht="15" customHeight="1" x14ac:dyDescent="0.25">
      <c r="D74" s="14"/>
      <c r="E74" s="14"/>
      <c r="F74" s="14"/>
      <c r="G74" s="14"/>
      <c r="H74" s="14"/>
      <c r="I74" s="14"/>
      <c r="J74" s="14"/>
      <c r="K74" s="14"/>
      <c r="L74" s="14"/>
      <c r="M74" s="14"/>
      <c r="N74" s="14"/>
    </row>
    <row r="75" spans="4:14" ht="15" customHeight="1" x14ac:dyDescent="0.25">
      <c r="D75" s="14"/>
      <c r="E75" s="14"/>
      <c r="F75" s="14"/>
      <c r="G75" s="14"/>
      <c r="H75" s="14"/>
      <c r="I75" s="14"/>
      <c r="J75" s="14"/>
      <c r="K75" s="14"/>
      <c r="L75" s="14"/>
      <c r="M75" s="14"/>
      <c r="N75" s="14"/>
    </row>
    <row r="76" spans="4:14" ht="15" customHeight="1" x14ac:dyDescent="0.25">
      <c r="D76" s="14"/>
      <c r="I76" s="14"/>
      <c r="J76" s="14"/>
      <c r="K76" s="14"/>
      <c r="L76" s="14"/>
      <c r="M76" s="14"/>
      <c r="N76" s="14"/>
    </row>
    <row r="77" spans="4:14" ht="15" customHeight="1" x14ac:dyDescent="0.25">
      <c r="D77" s="14"/>
      <c r="I77" s="14"/>
      <c r="J77" s="14"/>
      <c r="K77" s="14"/>
      <c r="L77" s="14"/>
      <c r="M77" s="14"/>
      <c r="N77" s="14"/>
    </row>
    <row r="78" spans="4:14" ht="15" customHeight="1" x14ac:dyDescent="0.25">
      <c r="D78" s="14"/>
      <c r="K78" s="14"/>
      <c r="L78" s="14"/>
      <c r="M78" s="14"/>
      <c r="N78" s="14"/>
    </row>
    <row r="79" spans="4:14" ht="15" customHeight="1" x14ac:dyDescent="0.25">
      <c r="D79" s="14"/>
      <c r="K79" s="14"/>
      <c r="L79" s="14"/>
      <c r="M79" s="14"/>
      <c r="N79" s="14"/>
    </row>
    <row r="80" spans="4:14" ht="15" customHeight="1" x14ac:dyDescent="0.25">
      <c r="D80" s="14"/>
      <c r="K80" s="14"/>
      <c r="L80" s="14"/>
      <c r="M80" s="14"/>
      <c r="N80" s="14"/>
    </row>
    <row r="81" spans="4:14" ht="15" customHeight="1" x14ac:dyDescent="0.25">
      <c r="D81" s="14"/>
      <c r="K81" s="14"/>
      <c r="L81" s="14"/>
      <c r="M81" s="14"/>
      <c r="N81" s="14"/>
    </row>
    <row r="82" spans="4:14" x14ac:dyDescent="0.25">
      <c r="D82" s="14"/>
      <c r="K82" s="14"/>
      <c r="L82" s="14"/>
      <c r="M82" s="14"/>
      <c r="N82" s="14"/>
    </row>
    <row r="83" spans="4:14" x14ac:dyDescent="0.25">
      <c r="D83" s="14"/>
      <c r="K83" s="14"/>
      <c r="L83" s="14"/>
      <c r="M83" s="14"/>
      <c r="N83" s="14"/>
    </row>
    <row r="84" spans="4:14" x14ac:dyDescent="0.25">
      <c r="D84" s="14"/>
      <c r="K84" s="14"/>
      <c r="L84" s="14"/>
      <c r="M84" s="14"/>
      <c r="N84" s="14"/>
    </row>
  </sheetData>
  <mergeCells count="2">
    <mergeCell ref="A17:B17"/>
    <mergeCell ref="L70:N70"/>
  </mergeCells>
  <conditionalFormatting sqref="A17">
    <cfRule type="dataBar" priority="4">
      <dataBar>
        <cfvo type="num" val="0"/>
        <cfvo type="num" val="1"/>
        <color theme="4" tint="0.39997558519241921"/>
      </dataBar>
      <extLst>
        <ext xmlns:x14="http://schemas.microsoft.com/office/spreadsheetml/2009/9/main" uri="{B025F937-C7B1-47D3-B67F-A62EFF666E3E}">
          <x14:id>{5DCF6A25-6DE2-4858-9473-EC4145A5F58B}</x14:id>
        </ext>
      </extLst>
    </cfRule>
  </conditionalFormatting>
  <conditionalFormatting sqref="A17:B17">
    <cfRule type="containsText" dxfId="15" priority="5" operator="containsText" text="Mais de 100%">
      <formula>NOT(ISERROR(SEARCH("Mais de 100%",A17)))</formula>
    </cfRule>
  </conditionalFormatting>
  <conditionalFormatting sqref="J26:J31">
    <cfRule type="containsText" dxfId="14" priority="2" operator="containsText" text="Pagar">
      <formula>NOT(ISERROR(SEARCH("Pagar",J26)))</formula>
    </cfRule>
  </conditionalFormatting>
  <conditionalFormatting sqref="B14">
    <cfRule type="cellIs" dxfId="13" priority="1" operator="lessThan">
      <formula>0</formula>
    </cfRule>
  </conditionalFormatting>
  <pageMargins left="0.511811024" right="0.511811024" top="0.78740157499999996" bottom="0.78740157499999996" header="0.31496062000000002" footer="0.31496062000000002"/>
  <pageSetup paperSize="9" orientation="portrait" horizontalDpi="0" verticalDpi="0" r:id="rId1"/>
  <drawing r:id="rId2"/>
  <legacyDrawing r:id="rId3"/>
  <tableParts count="8">
    <tablePart r:id="rId4"/>
    <tablePart r:id="rId5"/>
    <tablePart r:id="rId6"/>
    <tablePart r:id="rId7"/>
    <tablePart r:id="rId8"/>
    <tablePart r:id="rId9"/>
    <tablePart r:id="rId10"/>
    <tablePart r:id="rId11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DCF6A25-6DE2-4858-9473-EC4145A5F58B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A17</xm:sqref>
        </x14:conditionalFormatting>
        <x14:conditionalFormatting xmlns:xm="http://schemas.microsoft.com/office/excel/2006/main">
          <x14:cfRule type="containsText" priority="3" operator="containsText" id="{F2470379-F20D-438D-9B8C-2FCCBCF37BAD}">
            <xm:f>NOT(ISERROR(SEARCH(Pagar,J39)))</xm:f>
            <xm:f>Pagar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J39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268F78-686E-436F-8FF5-AF3CDD1D9CB8}">
  <sheetPr codeName="Planilha14"/>
  <dimension ref="A1:XFC84"/>
  <sheetViews>
    <sheetView showGridLines="0" topLeftCell="A22" zoomScale="80" zoomScaleNormal="80" workbookViewId="0">
      <selection activeCell="G33" sqref="G33"/>
    </sheetView>
  </sheetViews>
  <sheetFormatPr defaultColWidth="0" defaultRowHeight="15" x14ac:dyDescent="0.25"/>
  <cols>
    <col min="1" max="1" width="22.42578125" customWidth="1"/>
    <col min="2" max="2" width="16.7109375" customWidth="1"/>
    <col min="3" max="3" width="14.85546875" customWidth="1"/>
    <col min="4" max="4" width="18.140625" customWidth="1"/>
    <col min="5" max="5" width="31.7109375" bestFit="1" customWidth="1"/>
    <col min="6" max="6" width="17.140625" customWidth="1"/>
    <col min="7" max="7" width="26" customWidth="1"/>
    <col min="8" max="8" width="25" bestFit="1" customWidth="1"/>
    <col min="9" max="9" width="26.5703125" bestFit="1" customWidth="1"/>
    <col min="10" max="10" width="13" customWidth="1"/>
    <col min="11" max="11" width="12" customWidth="1"/>
    <col min="12" max="12" width="19.5703125" hidden="1" customWidth="1"/>
    <col min="13" max="13" width="16" hidden="1" customWidth="1"/>
    <col min="14" max="14" width="17.85546875" customWidth="1"/>
    <col min="16382" max="16382" width="1.7109375" hidden="1"/>
    <col min="16383" max="16383" width="7.28515625" hidden="1"/>
  </cols>
  <sheetData>
    <row r="1" spans="1:14" s="1" customFormat="1" ht="34.5" customHeight="1" x14ac:dyDescent="0.25">
      <c r="A1" s="12" t="s">
        <v>24</v>
      </c>
      <c r="B1" s="12"/>
      <c r="C1" s="12"/>
      <c r="D1" s="12"/>
      <c r="E1" s="12"/>
      <c r="F1" s="12"/>
      <c r="G1" s="12"/>
      <c r="H1" s="12"/>
      <c r="I1" s="12"/>
      <c r="J1" s="12"/>
      <c r="K1" s="12"/>
      <c r="L1" s="12"/>
      <c r="M1" s="12"/>
      <c r="N1" s="12"/>
    </row>
    <row r="2" spans="1:14" s="1" customFormat="1" ht="18" customHeight="1" x14ac:dyDescent="0.25">
      <c r="A2" s="12"/>
      <c r="B2" s="12"/>
      <c r="C2" s="12"/>
      <c r="D2" s="12"/>
      <c r="E2" s="12"/>
      <c r="F2" s="12"/>
      <c r="G2" s="12"/>
      <c r="H2" s="12"/>
      <c r="I2" s="12"/>
      <c r="J2" s="12"/>
      <c r="K2" s="12"/>
      <c r="L2" s="12"/>
      <c r="M2" s="12"/>
      <c r="N2" s="12"/>
    </row>
    <row r="3" spans="1:14" ht="24.75" customHeight="1" x14ac:dyDescent="0.25">
      <c r="C3" s="3"/>
    </row>
    <row r="4" spans="1:14" ht="18" customHeight="1" x14ac:dyDescent="0.3">
      <c r="A4" s="33" t="s">
        <v>45</v>
      </c>
      <c r="B4" s="37" t="s">
        <v>28</v>
      </c>
      <c r="C4" s="3"/>
    </row>
    <row r="5" spans="1:14" ht="15" customHeight="1" x14ac:dyDescent="0.25">
      <c r="A5" t="s">
        <v>25</v>
      </c>
      <c r="B5" s="6">
        <f>1800</f>
        <v>1800</v>
      </c>
      <c r="C5" s="3"/>
    </row>
    <row r="6" spans="1:14" ht="15" customHeight="1" x14ac:dyDescent="0.25">
      <c r="A6" t="s">
        <v>26</v>
      </c>
      <c r="B6" s="6"/>
      <c r="C6" s="3"/>
    </row>
    <row r="7" spans="1:14" ht="15" customHeight="1" x14ac:dyDescent="0.25">
      <c r="A7" t="s">
        <v>27</v>
      </c>
      <c r="B7" s="40">
        <f>B28</f>
        <v>150</v>
      </c>
      <c r="C7" s="3"/>
    </row>
    <row r="8" spans="1:14" ht="15" customHeight="1" x14ac:dyDescent="0.25">
      <c r="A8" t="s">
        <v>29</v>
      </c>
      <c r="B8" s="6"/>
      <c r="C8" s="3"/>
    </row>
    <row r="9" spans="1:14" ht="15" customHeight="1" x14ac:dyDescent="0.25">
      <c r="A9" s="24" t="s">
        <v>32</v>
      </c>
      <c r="B9" s="25">
        <f>SUM(B5:B8)</f>
        <v>1950</v>
      </c>
      <c r="C9" s="3"/>
    </row>
    <row r="10" spans="1:14" ht="15" customHeight="1" x14ac:dyDescent="0.25">
      <c r="C10" s="3"/>
    </row>
    <row r="11" spans="1:14" ht="17.25" customHeight="1" x14ac:dyDescent="0.3">
      <c r="A11" s="34" t="s">
        <v>46</v>
      </c>
      <c r="B11" s="38" t="s">
        <v>30</v>
      </c>
      <c r="C11" s="28"/>
    </row>
    <row r="12" spans="1:14" ht="15" customHeight="1" x14ac:dyDescent="0.25">
      <c r="A12" s="6" t="s">
        <v>34</v>
      </c>
      <c r="B12" s="13">
        <f>B5+B7</f>
        <v>1950</v>
      </c>
      <c r="C12" s="4"/>
    </row>
    <row r="13" spans="1:14" ht="15" customHeight="1" x14ac:dyDescent="0.25">
      <c r="A13" s="26" t="s">
        <v>31</v>
      </c>
      <c r="B13" s="27">
        <f>F32+F39+F52+B39+B49</f>
        <v>1884.75</v>
      </c>
      <c r="C13" s="4"/>
    </row>
    <row r="14" spans="1:14" ht="15" customHeight="1" x14ac:dyDescent="0.25">
      <c r="A14" s="25" t="s">
        <v>39</v>
      </c>
      <c r="B14" s="48">
        <f>B12-B13</f>
        <v>65.25</v>
      </c>
      <c r="C14" s="4"/>
    </row>
    <row r="15" spans="1:14" ht="15.75" thickBot="1" x14ac:dyDescent="0.3">
      <c r="C15" s="4"/>
    </row>
    <row r="16" spans="1:14" ht="15.75" x14ac:dyDescent="0.25">
      <c r="A16" s="31" t="s">
        <v>47</v>
      </c>
      <c r="B16" s="32"/>
      <c r="C16" s="29"/>
    </row>
    <row r="17" spans="1:10" ht="15.75" thickBot="1" x14ac:dyDescent="0.3">
      <c r="A17" s="117">
        <f>IF(B13&lt;B12,((B13*100/B12)/100),"Mais de 100% do ganho mensal")</f>
        <v>0.96653846153846157</v>
      </c>
      <c r="B17" s="118"/>
      <c r="C17" s="3"/>
    </row>
    <row r="18" spans="1:10" x14ac:dyDescent="0.25">
      <c r="C18" s="30"/>
    </row>
    <row r="19" spans="1:10" x14ac:dyDescent="0.25">
      <c r="C19" s="30"/>
    </row>
    <row r="20" spans="1:10" x14ac:dyDescent="0.25">
      <c r="C20" s="30"/>
    </row>
    <row r="21" spans="1:10" x14ac:dyDescent="0.25">
      <c r="C21" s="30"/>
    </row>
    <row r="22" spans="1:10" x14ac:dyDescent="0.25">
      <c r="C22" s="30"/>
    </row>
    <row r="23" spans="1:10" x14ac:dyDescent="0.25">
      <c r="C23" s="30"/>
      <c r="G23" s="7"/>
    </row>
    <row r="24" spans="1:10" x14ac:dyDescent="0.25">
      <c r="C24" s="45"/>
    </row>
    <row r="25" spans="1:10" x14ac:dyDescent="0.25">
      <c r="A25" s="64" t="s">
        <v>27</v>
      </c>
      <c r="B25" s="8" t="s">
        <v>2</v>
      </c>
      <c r="C25" s="8" t="s">
        <v>13</v>
      </c>
      <c r="E25" s="8" t="s">
        <v>12</v>
      </c>
      <c r="F25" s="8" t="s">
        <v>2</v>
      </c>
      <c r="G25" s="8" t="s">
        <v>0</v>
      </c>
      <c r="H25" s="8" t="s">
        <v>1</v>
      </c>
      <c r="I25" s="8" t="s">
        <v>10</v>
      </c>
      <c r="J25" s="8" t="s">
        <v>3</v>
      </c>
    </row>
    <row r="26" spans="1:10" x14ac:dyDescent="0.25">
      <c r="A26" s="81" t="s">
        <v>84</v>
      </c>
      <c r="B26" s="73">
        <v>150</v>
      </c>
      <c r="C26" s="62"/>
      <c r="E26" s="53" t="s">
        <v>8</v>
      </c>
      <c r="F26" s="68">
        <v>484</v>
      </c>
      <c r="G26" s="66">
        <v>44479</v>
      </c>
      <c r="H26" s="66">
        <v>44502</v>
      </c>
      <c r="I26" s="53">
        <f t="shared" ref="I26:I31" si="0">IF(H26="","Sem data",IF(H26-G26&lt;0,"Pago antes do vencimento",H26-G26))</f>
        <v>23</v>
      </c>
      <c r="J26" s="53" t="str">
        <f t="shared" ref="J26" si="1">IF(I26:I31="Sem data","Pagar","Pago")</f>
        <v>Pago</v>
      </c>
    </row>
    <row r="27" spans="1:10" x14ac:dyDescent="0.25">
      <c r="A27" s="81"/>
      <c r="B27" s="73"/>
      <c r="C27" s="62"/>
      <c r="E27" s="53" t="s">
        <v>4</v>
      </c>
      <c r="F27" s="68">
        <v>186</v>
      </c>
      <c r="G27" s="66">
        <v>44495</v>
      </c>
      <c r="H27" s="66">
        <v>44502</v>
      </c>
      <c r="I27" s="53">
        <f>IF(H27="","Sem data",IF(H27-G27&lt;0,"Pago antes do vencimento",H27-G27))</f>
        <v>7</v>
      </c>
      <c r="J27" s="53" t="str">
        <f>IF(I27:I32="Sem data","Pagar","Pago")</f>
        <v>Pago</v>
      </c>
    </row>
    <row r="28" spans="1:10" x14ac:dyDescent="0.25">
      <c r="A28" s="47" t="s">
        <v>32</v>
      </c>
      <c r="B28" s="87">
        <f>SUM(Tabela746192737455361697785[Valor])</f>
        <v>150</v>
      </c>
      <c r="E28" s="53" t="s">
        <v>9</v>
      </c>
      <c r="F28" s="68">
        <v>314</v>
      </c>
      <c r="G28" s="66">
        <v>44480</v>
      </c>
      <c r="H28" s="66">
        <v>44482</v>
      </c>
      <c r="I28" s="53">
        <f t="shared" si="0"/>
        <v>2</v>
      </c>
      <c r="J28" s="53" t="str">
        <f>IF(I28:I33="Sem data","Pagar","Pago")</f>
        <v>Pago</v>
      </c>
    </row>
    <row r="29" spans="1:10" x14ac:dyDescent="0.25">
      <c r="A29" s="47" t="s">
        <v>37</v>
      </c>
      <c r="B29" s="88">
        <f>AVERAGE(Tabela746192737455361697785[Valor])</f>
        <v>150</v>
      </c>
      <c r="E29" s="53" t="s">
        <v>6</v>
      </c>
      <c r="F29" s="68">
        <v>166</v>
      </c>
      <c r="G29" s="66">
        <v>44497</v>
      </c>
      <c r="H29" s="66">
        <v>44488</v>
      </c>
      <c r="I29" s="53" t="str">
        <f>IF(H29="","Sem data",IF(H29-G29&lt;0,"Pago antes do vencimento",H29-G29))</f>
        <v>Pago antes do vencimento</v>
      </c>
      <c r="J29" s="53" t="str">
        <f>IF(I29:I34="Sem data","Pagar","Pago")</f>
        <v>Pago</v>
      </c>
    </row>
    <row r="30" spans="1:10" x14ac:dyDescent="0.25">
      <c r="E30" s="53" t="s">
        <v>5</v>
      </c>
      <c r="F30" s="68">
        <v>120</v>
      </c>
      <c r="G30" s="66">
        <v>44480</v>
      </c>
      <c r="H30" s="66">
        <v>44482</v>
      </c>
      <c r="I30" s="53">
        <f t="shared" si="0"/>
        <v>2</v>
      </c>
      <c r="J30" s="53" t="str">
        <f>IF(I30:I35="Sem data","Pagar","Pago")</f>
        <v>Pago</v>
      </c>
    </row>
    <row r="31" spans="1:10" x14ac:dyDescent="0.25">
      <c r="E31" s="53" t="s">
        <v>33</v>
      </c>
      <c r="F31" s="68">
        <v>34</v>
      </c>
      <c r="G31" s="66">
        <v>44470</v>
      </c>
      <c r="H31" s="66"/>
      <c r="I31" s="53" t="str">
        <f t="shared" si="0"/>
        <v>Sem data</v>
      </c>
      <c r="J31" s="53" t="str">
        <f>IF(I31:I36="Sem data","Pagar","Pago")</f>
        <v>Pagar</v>
      </c>
    </row>
    <row r="32" spans="1:10" x14ac:dyDescent="0.25">
      <c r="E32" s="47" t="s">
        <v>32</v>
      </c>
      <c r="F32" s="88">
        <f>SUM(Tabela32102129394755637179[Valor])</f>
        <v>1304</v>
      </c>
    </row>
    <row r="33" spans="1:10" x14ac:dyDescent="0.25">
      <c r="A33" s="3"/>
      <c r="B33" s="41"/>
      <c r="C33" s="3"/>
      <c r="E33" s="47" t="s">
        <v>36</v>
      </c>
      <c r="F33" s="88">
        <f>AVERAGE(Tabela32102129394755637179[Valor])</f>
        <v>217.33333333333334</v>
      </c>
    </row>
    <row r="34" spans="1:10" x14ac:dyDescent="0.25">
      <c r="A34" s="3"/>
      <c r="B34" s="41"/>
      <c r="C34" s="3"/>
    </row>
    <row r="35" spans="1:10" ht="15.75" x14ac:dyDescent="0.25">
      <c r="A35" s="3"/>
      <c r="B35" s="41"/>
      <c r="C35" s="2"/>
      <c r="G35" s="46"/>
    </row>
    <row r="36" spans="1:10" s="3" customFormat="1" x14ac:dyDescent="0.25"/>
    <row r="37" spans="1:10" s="3" customFormat="1" x14ac:dyDescent="0.25">
      <c r="A37" s="35" t="s">
        <v>42</v>
      </c>
      <c r="B37" s="8" t="s">
        <v>2</v>
      </c>
      <c r="C37" s="8" t="s">
        <v>13</v>
      </c>
      <c r="E37" s="16" t="s">
        <v>40</v>
      </c>
      <c r="F37" s="8" t="s">
        <v>2</v>
      </c>
      <c r="G37" s="8" t="s">
        <v>1</v>
      </c>
      <c r="H37" s="8" t="s">
        <v>11</v>
      </c>
      <c r="I37" s="8" t="s">
        <v>22</v>
      </c>
      <c r="J37" s="8" t="s">
        <v>3</v>
      </c>
    </row>
    <row r="38" spans="1:10" s="3" customFormat="1" x14ac:dyDescent="0.25">
      <c r="A38" s="79" t="s">
        <v>85</v>
      </c>
      <c r="B38" s="73">
        <v>0</v>
      </c>
      <c r="C38" s="22"/>
      <c r="E38" s="53"/>
      <c r="F38" s="68">
        <v>0</v>
      </c>
      <c r="G38" s="11"/>
      <c r="H38" s="7"/>
      <c r="I38" s="7"/>
      <c r="J38" s="7" t="s">
        <v>20</v>
      </c>
    </row>
    <row r="39" spans="1:10" x14ac:dyDescent="0.25">
      <c r="A39" s="47" t="s">
        <v>32</v>
      </c>
      <c r="B39" s="88">
        <f>SUM(Tabela7172534435159677583[Valor])</f>
        <v>0</v>
      </c>
      <c r="E39" s="47" t="s">
        <v>32</v>
      </c>
      <c r="F39" s="88">
        <f>SUM(Tabela4122331414957657381[Valor])</f>
        <v>0</v>
      </c>
    </row>
    <row r="40" spans="1:10" x14ac:dyDescent="0.25">
      <c r="A40" s="47" t="s">
        <v>38</v>
      </c>
      <c r="B40" s="88">
        <f>AVERAGE(Tabela7172534435159677583[Valor])</f>
        <v>0</v>
      </c>
      <c r="E40" s="47" t="s">
        <v>37</v>
      </c>
      <c r="F40" s="88">
        <f>AVERAGE(Tabela4122331414957657381[Valor])</f>
        <v>0</v>
      </c>
    </row>
    <row r="41" spans="1:10" x14ac:dyDescent="0.25">
      <c r="E41" s="44"/>
      <c r="F41" s="41"/>
    </row>
    <row r="42" spans="1:10" x14ac:dyDescent="0.25">
      <c r="E42" s="44"/>
      <c r="F42" s="41"/>
    </row>
    <row r="43" spans="1:10" x14ac:dyDescent="0.25">
      <c r="A43" s="44"/>
      <c r="B43" s="41"/>
      <c r="C43" s="3"/>
      <c r="E43" s="44"/>
      <c r="F43" s="41"/>
    </row>
    <row r="46" spans="1:10" ht="15.75" x14ac:dyDescent="0.25">
      <c r="E46" s="36" t="s">
        <v>7</v>
      </c>
      <c r="F46" s="8" t="s">
        <v>2</v>
      </c>
      <c r="G46" s="8" t="s">
        <v>14</v>
      </c>
      <c r="H46" s="8" t="s">
        <v>13</v>
      </c>
    </row>
    <row r="47" spans="1:10" ht="15.75" x14ac:dyDescent="0.25">
      <c r="A47" s="36" t="s">
        <v>43</v>
      </c>
      <c r="B47" s="8" t="s">
        <v>2</v>
      </c>
      <c r="C47" s="8" t="s">
        <v>13</v>
      </c>
      <c r="E47" s="53" t="s">
        <v>19</v>
      </c>
      <c r="F47" s="68">
        <v>8</v>
      </c>
      <c r="G47" s="53">
        <v>1</v>
      </c>
      <c r="H47" s="66">
        <v>44470</v>
      </c>
    </row>
    <row r="48" spans="1:10" x14ac:dyDescent="0.25">
      <c r="A48" s="79"/>
      <c r="B48" s="73">
        <v>0</v>
      </c>
      <c r="C48" s="22"/>
      <c r="E48" s="53" t="s">
        <v>15</v>
      </c>
      <c r="F48" s="68">
        <v>189</v>
      </c>
      <c r="G48" s="53"/>
      <c r="H48" s="66">
        <v>44472</v>
      </c>
    </row>
    <row r="49" spans="1:14" x14ac:dyDescent="0.25">
      <c r="A49" s="47" t="s">
        <v>32</v>
      </c>
      <c r="B49" s="96">
        <f>SUM(B48:B48)</f>
        <v>0</v>
      </c>
      <c r="E49" s="53" t="s">
        <v>19</v>
      </c>
      <c r="F49" s="68">
        <v>177</v>
      </c>
      <c r="G49" s="53">
        <v>21</v>
      </c>
      <c r="H49" s="66">
        <v>44473</v>
      </c>
    </row>
    <row r="50" spans="1:14" x14ac:dyDescent="0.25">
      <c r="A50" s="47" t="s">
        <v>38</v>
      </c>
      <c r="B50" s="96">
        <f>AVERAGE(Tabela74182635445260687684[Valor])</f>
        <v>0</v>
      </c>
      <c r="E50" s="53" t="s">
        <v>19</v>
      </c>
      <c r="F50" s="68">
        <v>185</v>
      </c>
      <c r="G50" s="53">
        <v>20</v>
      </c>
      <c r="H50" s="66">
        <v>44484</v>
      </c>
    </row>
    <row r="51" spans="1:14" x14ac:dyDescent="0.25">
      <c r="E51" s="53" t="s">
        <v>82</v>
      </c>
      <c r="F51" s="68">
        <v>21.75</v>
      </c>
      <c r="G51" s="53">
        <v>4</v>
      </c>
      <c r="H51" s="66">
        <v>44485</v>
      </c>
    </row>
    <row r="52" spans="1:14" x14ac:dyDescent="0.25">
      <c r="E52" s="47" t="s">
        <v>32</v>
      </c>
      <c r="F52" s="88">
        <f>SUM(Tabela6132432425058667482[Valor])</f>
        <v>580.75</v>
      </c>
    </row>
    <row r="53" spans="1:14" x14ac:dyDescent="0.25">
      <c r="B53" s="14"/>
      <c r="C53" s="14"/>
      <c r="E53" s="47" t="s">
        <v>38</v>
      </c>
      <c r="F53" s="88">
        <f>AVERAGE(Tabela6132432425058667482[Valor])</f>
        <v>116.15</v>
      </c>
      <c r="I53" s="14"/>
      <c r="J53" s="14"/>
    </row>
    <row r="54" spans="1:14" ht="18.75" x14ac:dyDescent="0.3">
      <c r="B54" s="14"/>
      <c r="C54" s="14"/>
      <c r="I54" s="17"/>
      <c r="J54" s="14"/>
    </row>
    <row r="55" spans="1:14" x14ac:dyDescent="0.25">
      <c r="B55" s="14"/>
      <c r="C55" s="14"/>
      <c r="I55" s="5"/>
      <c r="J55" s="5"/>
    </row>
    <row r="56" spans="1:14" x14ac:dyDescent="0.25">
      <c r="B56" s="14"/>
      <c r="C56" s="14"/>
      <c r="I56" s="14"/>
      <c r="J56" s="14"/>
    </row>
    <row r="57" spans="1:14" x14ac:dyDescent="0.25">
      <c r="B57" s="14"/>
      <c r="C57" s="14"/>
      <c r="I57" s="14"/>
      <c r="J57" s="14"/>
    </row>
    <row r="58" spans="1:14" ht="15" customHeight="1" x14ac:dyDescent="0.25">
      <c r="B58" s="14"/>
      <c r="C58" s="14"/>
      <c r="I58" s="14"/>
      <c r="J58" s="14"/>
    </row>
    <row r="59" spans="1:14" ht="15" customHeight="1" x14ac:dyDescent="0.25">
      <c r="B59" s="14"/>
      <c r="C59" s="14"/>
      <c r="H59" s="14"/>
      <c r="I59" s="14"/>
      <c r="J59" s="14"/>
    </row>
    <row r="60" spans="1:14" ht="15" customHeight="1" x14ac:dyDescent="0.25">
      <c r="B60" s="14"/>
      <c r="C60" s="14"/>
      <c r="D60" s="14"/>
      <c r="H60" s="14"/>
      <c r="I60" s="14"/>
      <c r="J60" s="14"/>
      <c r="K60" s="14"/>
      <c r="L60" s="14"/>
      <c r="M60" s="14"/>
      <c r="N60" s="14"/>
    </row>
    <row r="61" spans="1:14" ht="13.5" customHeight="1" x14ac:dyDescent="0.25">
      <c r="B61" s="14"/>
      <c r="C61" s="14"/>
      <c r="D61" s="14"/>
      <c r="H61" s="14"/>
      <c r="I61" s="14"/>
      <c r="J61" s="14"/>
      <c r="K61" s="14"/>
      <c r="L61" s="14"/>
      <c r="M61" s="14"/>
      <c r="N61" s="14"/>
    </row>
    <row r="62" spans="1:14" ht="16.5" customHeight="1" x14ac:dyDescent="0.25">
      <c r="B62" s="14"/>
      <c r="C62" s="14"/>
      <c r="D62" s="14"/>
      <c r="H62" s="49"/>
      <c r="I62" s="14"/>
      <c r="J62" s="14"/>
      <c r="K62" s="14"/>
      <c r="L62" s="14"/>
      <c r="M62" s="14"/>
      <c r="N62" s="14"/>
    </row>
    <row r="63" spans="1:14" ht="15" customHeight="1" x14ac:dyDescent="0.25">
      <c r="B63" s="14"/>
      <c r="C63" s="14"/>
      <c r="D63" s="14"/>
      <c r="H63" s="14"/>
      <c r="I63" s="49"/>
      <c r="J63" s="49"/>
      <c r="K63" s="14"/>
      <c r="L63" s="14"/>
      <c r="M63" s="14"/>
      <c r="N63" s="14"/>
    </row>
    <row r="64" spans="1:14" ht="15" customHeight="1" x14ac:dyDescent="0.25">
      <c r="B64" s="14"/>
      <c r="C64" s="14"/>
      <c r="D64" s="14"/>
      <c r="H64" s="14"/>
      <c r="I64" s="14"/>
      <c r="J64" s="14"/>
      <c r="K64" s="14"/>
      <c r="L64" s="14"/>
      <c r="M64" s="14"/>
      <c r="N64" s="14"/>
    </row>
    <row r="65" spans="4:14" ht="16.5" customHeight="1" x14ac:dyDescent="0.25">
      <c r="D65" s="14"/>
      <c r="H65" s="14"/>
      <c r="I65" s="14"/>
      <c r="J65" s="14"/>
      <c r="K65" s="14"/>
      <c r="L65" s="14"/>
      <c r="M65" s="14"/>
      <c r="N65" s="14"/>
    </row>
    <row r="66" spans="4:14" ht="18" customHeight="1" x14ac:dyDescent="0.25">
      <c r="D66" s="14"/>
      <c r="H66" s="14"/>
      <c r="I66" s="14"/>
      <c r="J66" s="14"/>
      <c r="K66" s="14"/>
      <c r="L66" s="14"/>
      <c r="M66" s="14"/>
      <c r="N66" s="14"/>
    </row>
    <row r="67" spans="4:14" ht="15.75" customHeight="1" x14ac:dyDescent="0.25">
      <c r="D67" s="14"/>
      <c r="H67" s="14"/>
      <c r="I67" s="14"/>
      <c r="J67" s="14"/>
      <c r="K67" s="14"/>
      <c r="L67" s="14"/>
      <c r="M67" s="14"/>
      <c r="N67" s="14"/>
    </row>
    <row r="68" spans="4:14" ht="15" customHeight="1" x14ac:dyDescent="0.25">
      <c r="D68" s="14"/>
      <c r="H68" s="14"/>
      <c r="I68" s="14"/>
      <c r="J68" s="14"/>
      <c r="K68" s="14"/>
      <c r="L68" s="14"/>
      <c r="M68" s="14"/>
      <c r="N68" s="14"/>
    </row>
    <row r="69" spans="4:14" ht="15" customHeight="1" x14ac:dyDescent="0.25">
      <c r="D69" s="14"/>
      <c r="H69" s="14"/>
      <c r="I69" s="14"/>
      <c r="J69" s="14"/>
      <c r="K69" s="14"/>
      <c r="L69" s="14"/>
      <c r="M69" s="14"/>
      <c r="N69" s="14"/>
    </row>
    <row r="70" spans="4:14" ht="15" customHeight="1" x14ac:dyDescent="0.25">
      <c r="D70" s="49"/>
      <c r="H70" s="14"/>
      <c r="I70" s="14"/>
      <c r="J70" s="14"/>
      <c r="K70" s="14"/>
      <c r="L70" s="116"/>
      <c r="M70" s="116"/>
      <c r="N70" s="116"/>
    </row>
    <row r="71" spans="4:14" ht="15" customHeight="1" x14ac:dyDescent="0.25">
      <c r="D71" s="14"/>
      <c r="H71" s="14"/>
      <c r="I71" s="14"/>
      <c r="J71" s="14"/>
      <c r="K71" s="14"/>
      <c r="L71" s="14"/>
      <c r="M71" s="14"/>
      <c r="N71" s="14"/>
    </row>
    <row r="72" spans="4:14" ht="15" customHeight="1" x14ac:dyDescent="0.25">
      <c r="D72" s="14"/>
      <c r="H72" s="14"/>
      <c r="I72" s="14"/>
      <c r="J72" s="14"/>
      <c r="K72" s="14"/>
      <c r="L72" s="14"/>
      <c r="M72" s="14"/>
      <c r="N72" s="14"/>
    </row>
    <row r="73" spans="4:14" ht="15" customHeight="1" x14ac:dyDescent="0.25">
      <c r="D73" s="14"/>
      <c r="H73" s="14"/>
      <c r="I73" s="14"/>
      <c r="J73" s="14"/>
      <c r="K73" s="14"/>
      <c r="L73" s="14"/>
      <c r="M73" s="14"/>
      <c r="N73" s="14"/>
    </row>
    <row r="74" spans="4:14" ht="15" customHeight="1" x14ac:dyDescent="0.25">
      <c r="D74" s="14"/>
      <c r="E74" s="14"/>
      <c r="F74" s="14"/>
      <c r="G74" s="14"/>
      <c r="H74" s="14"/>
      <c r="I74" s="14"/>
      <c r="J74" s="14"/>
      <c r="K74" s="14"/>
      <c r="L74" s="14"/>
      <c r="M74" s="14"/>
      <c r="N74" s="14"/>
    </row>
    <row r="75" spans="4:14" ht="15" customHeight="1" x14ac:dyDescent="0.25">
      <c r="D75" s="14"/>
      <c r="E75" s="14"/>
      <c r="F75" s="14"/>
      <c r="G75" s="14"/>
      <c r="H75" s="14"/>
      <c r="I75" s="14"/>
      <c r="J75" s="14"/>
      <c r="K75" s="14"/>
      <c r="L75" s="14"/>
      <c r="M75" s="14"/>
      <c r="N75" s="14"/>
    </row>
    <row r="76" spans="4:14" ht="15" customHeight="1" x14ac:dyDescent="0.25">
      <c r="D76" s="14"/>
      <c r="E76" s="14"/>
      <c r="F76" s="14"/>
      <c r="G76" s="14"/>
      <c r="H76" s="14"/>
      <c r="I76" s="14"/>
      <c r="J76" s="14"/>
      <c r="K76" s="14"/>
      <c r="L76" s="14"/>
      <c r="M76" s="14"/>
      <c r="N76" s="14"/>
    </row>
    <row r="77" spans="4:14" ht="15" customHeight="1" x14ac:dyDescent="0.25">
      <c r="D77" s="14"/>
      <c r="I77" s="14"/>
      <c r="J77" s="14"/>
      <c r="K77" s="14"/>
      <c r="L77" s="14"/>
      <c r="M77" s="14"/>
      <c r="N77" s="14"/>
    </row>
    <row r="78" spans="4:14" ht="15" customHeight="1" x14ac:dyDescent="0.25">
      <c r="D78" s="14"/>
      <c r="K78" s="14"/>
      <c r="L78" s="14"/>
      <c r="M78" s="14"/>
      <c r="N78" s="14"/>
    </row>
    <row r="79" spans="4:14" ht="15" customHeight="1" x14ac:dyDescent="0.25">
      <c r="D79" s="14"/>
      <c r="K79" s="14"/>
      <c r="L79" s="14"/>
      <c r="M79" s="14"/>
      <c r="N79" s="14"/>
    </row>
    <row r="80" spans="4:14" ht="15" customHeight="1" x14ac:dyDescent="0.25">
      <c r="D80" s="14"/>
      <c r="K80" s="14"/>
      <c r="L80" s="14"/>
      <c r="M80" s="14"/>
      <c r="N80" s="14"/>
    </row>
    <row r="81" spans="4:14" ht="15" customHeight="1" x14ac:dyDescent="0.25">
      <c r="D81" s="14"/>
      <c r="K81" s="14"/>
      <c r="L81" s="14"/>
      <c r="M81" s="14"/>
      <c r="N81" s="14"/>
    </row>
    <row r="82" spans="4:14" x14ac:dyDescent="0.25">
      <c r="D82" s="14"/>
      <c r="K82" s="14"/>
      <c r="L82" s="14"/>
      <c r="M82" s="14"/>
      <c r="N82" s="14"/>
    </row>
    <row r="83" spans="4:14" x14ac:dyDescent="0.25">
      <c r="D83" s="14"/>
      <c r="K83" s="14"/>
      <c r="L83" s="14"/>
      <c r="M83" s="14"/>
      <c r="N83" s="14"/>
    </row>
    <row r="84" spans="4:14" x14ac:dyDescent="0.25">
      <c r="D84" s="14"/>
      <c r="K84" s="14"/>
      <c r="L84" s="14"/>
      <c r="M84" s="14"/>
      <c r="N84" s="14"/>
    </row>
  </sheetData>
  <mergeCells count="2">
    <mergeCell ref="A17:B17"/>
    <mergeCell ref="L70:N70"/>
  </mergeCells>
  <conditionalFormatting sqref="A17">
    <cfRule type="dataBar" priority="4">
      <dataBar>
        <cfvo type="num" val="0"/>
        <cfvo type="num" val="1"/>
        <color theme="4" tint="0.39997558519241921"/>
      </dataBar>
      <extLst>
        <ext xmlns:x14="http://schemas.microsoft.com/office/spreadsheetml/2009/9/main" uri="{B025F937-C7B1-47D3-B67F-A62EFF666E3E}">
          <x14:id>{1A17BD5A-2510-4DF7-867D-0E7629063DCE}</x14:id>
        </ext>
      </extLst>
    </cfRule>
  </conditionalFormatting>
  <conditionalFormatting sqref="A17:B17">
    <cfRule type="containsText" dxfId="11" priority="5" operator="containsText" text="Mais de 100%">
      <formula>NOT(ISERROR(SEARCH("Mais de 100%",A17)))</formula>
    </cfRule>
  </conditionalFormatting>
  <conditionalFormatting sqref="J26:J31">
    <cfRule type="containsText" dxfId="10" priority="2" operator="containsText" text="Pagar">
      <formula>NOT(ISERROR(SEARCH("Pagar",J26)))</formula>
    </cfRule>
  </conditionalFormatting>
  <conditionalFormatting sqref="B14">
    <cfRule type="cellIs" dxfId="9" priority="1" operator="lessThan">
      <formula>0</formula>
    </cfRule>
  </conditionalFormatting>
  <pageMargins left="0.511811024" right="0.511811024" top="0.78740157499999996" bottom="0.78740157499999996" header="0.31496062000000002" footer="0.31496062000000002"/>
  <pageSetup paperSize="9" orientation="portrait" horizontalDpi="0" verticalDpi="0" r:id="rId1"/>
  <drawing r:id="rId2"/>
  <legacyDrawing r:id="rId3"/>
  <tableParts count="8">
    <tablePart r:id="rId4"/>
    <tablePart r:id="rId5"/>
    <tablePart r:id="rId6"/>
    <tablePart r:id="rId7"/>
    <tablePart r:id="rId8"/>
    <tablePart r:id="rId9"/>
    <tablePart r:id="rId10"/>
    <tablePart r:id="rId11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A17BD5A-2510-4DF7-867D-0E7629063DCE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A17</xm:sqref>
        </x14:conditionalFormatting>
        <x14:conditionalFormatting xmlns:xm="http://schemas.microsoft.com/office/excel/2006/main">
          <x14:cfRule type="containsText" priority="3" operator="containsText" id="{29E22281-CB79-4075-A282-DB5489D34790}">
            <xm:f>NOT(ISERROR(SEARCH(Pagar,J38)))</xm:f>
            <xm:f>Pagar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J38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833DE7-ABD1-42C1-B6A4-2FE3500E568E}">
  <sheetPr codeName="Planilha15"/>
  <dimension ref="A1:XFC84"/>
  <sheetViews>
    <sheetView showGridLines="0" showRowColHeaders="0" topLeftCell="A17" zoomScale="84" zoomScaleNormal="84" workbookViewId="0">
      <selection activeCell="G31" sqref="G31"/>
    </sheetView>
  </sheetViews>
  <sheetFormatPr defaultColWidth="0" defaultRowHeight="15" x14ac:dyDescent="0.25"/>
  <cols>
    <col min="1" max="1" width="22.42578125" customWidth="1"/>
    <col min="2" max="2" width="16.7109375" customWidth="1"/>
    <col min="3" max="3" width="14.85546875" customWidth="1"/>
    <col min="4" max="4" width="18.140625" customWidth="1"/>
    <col min="5" max="5" width="29.7109375" customWidth="1"/>
    <col min="6" max="6" width="17.140625" customWidth="1"/>
    <col min="7" max="7" width="30" customWidth="1"/>
    <col min="8" max="8" width="25" bestFit="1" customWidth="1"/>
    <col min="9" max="9" width="26.5703125" bestFit="1" customWidth="1"/>
    <col min="10" max="10" width="13" customWidth="1"/>
    <col min="11" max="11" width="12" customWidth="1"/>
    <col min="12" max="12" width="19.5703125" hidden="1" customWidth="1"/>
    <col min="13" max="13" width="16" hidden="1" customWidth="1"/>
    <col min="14" max="14" width="17.85546875" customWidth="1"/>
    <col min="16382" max="16382" width="1.7109375" hidden="1"/>
    <col min="16383" max="16383" width="7.28515625" hidden="1"/>
  </cols>
  <sheetData>
    <row r="1" spans="1:14" s="1" customFormat="1" ht="34.5" customHeight="1" x14ac:dyDescent="0.25">
      <c r="A1" s="12" t="s">
        <v>24</v>
      </c>
      <c r="B1" s="12"/>
      <c r="C1" s="12"/>
      <c r="D1" s="12"/>
      <c r="E1" s="12"/>
      <c r="F1" s="12"/>
      <c r="G1" s="12"/>
      <c r="H1" s="12"/>
      <c r="I1" s="12"/>
      <c r="J1" s="12"/>
      <c r="K1" s="12"/>
      <c r="L1" s="12"/>
      <c r="M1" s="12"/>
      <c r="N1" s="12"/>
    </row>
    <row r="2" spans="1:14" s="1" customFormat="1" ht="18" customHeight="1" x14ac:dyDescent="0.25">
      <c r="A2" s="12"/>
      <c r="B2" s="12"/>
      <c r="C2" s="12"/>
      <c r="D2" s="12"/>
      <c r="E2" s="12"/>
      <c r="F2" s="12"/>
      <c r="G2" s="12"/>
      <c r="H2" s="12"/>
      <c r="I2" s="12"/>
      <c r="J2" s="12"/>
      <c r="K2" s="12"/>
      <c r="L2" s="12"/>
      <c r="M2" s="12"/>
      <c r="N2" s="12"/>
    </row>
    <row r="3" spans="1:14" ht="21.75" customHeight="1" x14ac:dyDescent="0.25">
      <c r="C3" s="3"/>
    </row>
    <row r="4" spans="1:14" ht="21.75" customHeight="1" x14ac:dyDescent="0.3">
      <c r="A4" s="33" t="s">
        <v>45</v>
      </c>
      <c r="B4" s="37" t="s">
        <v>28</v>
      </c>
      <c r="C4" s="3"/>
    </row>
    <row r="5" spans="1:14" ht="15" customHeight="1" x14ac:dyDescent="0.25">
      <c r="A5" t="s">
        <v>25</v>
      </c>
      <c r="B5" s="6">
        <f>1800</f>
        <v>1800</v>
      </c>
      <c r="C5" s="3"/>
    </row>
    <row r="6" spans="1:14" ht="15" customHeight="1" x14ac:dyDescent="0.25">
      <c r="A6" t="s">
        <v>26</v>
      </c>
      <c r="B6" s="6"/>
      <c r="C6" s="3"/>
    </row>
    <row r="7" spans="1:14" ht="15" customHeight="1" x14ac:dyDescent="0.25">
      <c r="A7" t="s">
        <v>27</v>
      </c>
      <c r="B7" s="40">
        <f>B26</f>
        <v>0</v>
      </c>
      <c r="C7" s="3"/>
    </row>
    <row r="8" spans="1:14" ht="15" customHeight="1" x14ac:dyDescent="0.25">
      <c r="A8" t="s">
        <v>29</v>
      </c>
      <c r="B8" s="6"/>
      <c r="C8" s="3"/>
    </row>
    <row r="9" spans="1:14" ht="15" customHeight="1" x14ac:dyDescent="0.25">
      <c r="A9" s="24" t="s">
        <v>32</v>
      </c>
      <c r="B9" s="25">
        <f>SUM(B5:B8)</f>
        <v>1800</v>
      </c>
      <c r="C9" s="3"/>
    </row>
    <row r="10" spans="1:14" ht="15" customHeight="1" x14ac:dyDescent="0.25">
      <c r="C10" s="3"/>
    </row>
    <row r="11" spans="1:14" ht="17.25" customHeight="1" x14ac:dyDescent="0.3">
      <c r="A11" s="34" t="s">
        <v>46</v>
      </c>
      <c r="B11" s="38" t="s">
        <v>30</v>
      </c>
      <c r="C11" s="28"/>
    </row>
    <row r="12" spans="1:14" ht="15" customHeight="1" x14ac:dyDescent="0.25">
      <c r="A12" s="6" t="s">
        <v>34</v>
      </c>
      <c r="B12" s="13">
        <f>B5+B7</f>
        <v>1800</v>
      </c>
      <c r="C12" s="4"/>
    </row>
    <row r="13" spans="1:14" ht="15" customHeight="1" x14ac:dyDescent="0.25">
      <c r="A13" s="26" t="s">
        <v>31</v>
      </c>
      <c r="B13" s="63">
        <f>F31+F38+F46+B39+B47</f>
        <v>1406.8</v>
      </c>
      <c r="C13" s="4"/>
    </row>
    <row r="14" spans="1:14" ht="15" customHeight="1" x14ac:dyDescent="0.25">
      <c r="A14" s="25" t="s">
        <v>39</v>
      </c>
      <c r="B14" s="48">
        <f>B12-B13</f>
        <v>393.20000000000005</v>
      </c>
      <c r="C14" s="4"/>
    </row>
    <row r="15" spans="1:14" ht="15.75" thickBot="1" x14ac:dyDescent="0.3">
      <c r="C15" s="4"/>
    </row>
    <row r="16" spans="1:14" ht="15.75" x14ac:dyDescent="0.25">
      <c r="A16" s="31" t="s">
        <v>47</v>
      </c>
      <c r="B16" s="32"/>
      <c r="C16" s="29"/>
    </row>
    <row r="17" spans="1:10" ht="15.75" thickBot="1" x14ac:dyDescent="0.3">
      <c r="A17" s="117">
        <f>IF(B13&lt;B12,((B13*100/B12)/100),"Mais de 100% do ganho mensal")</f>
        <v>0.78155555555555556</v>
      </c>
      <c r="B17" s="118"/>
      <c r="C17" s="3"/>
    </row>
    <row r="18" spans="1:10" x14ac:dyDescent="0.25">
      <c r="C18" s="30"/>
    </row>
    <row r="19" spans="1:10" x14ac:dyDescent="0.25">
      <c r="C19" s="30"/>
    </row>
    <row r="20" spans="1:10" x14ac:dyDescent="0.25">
      <c r="C20" s="30"/>
    </row>
    <row r="21" spans="1:10" x14ac:dyDescent="0.25">
      <c r="C21" s="30"/>
    </row>
    <row r="22" spans="1:10" x14ac:dyDescent="0.25">
      <c r="C22" s="30"/>
    </row>
    <row r="23" spans="1:10" x14ac:dyDescent="0.25">
      <c r="B23" t="s">
        <v>72</v>
      </c>
      <c r="C23" s="30"/>
      <c r="F23" t="s">
        <v>72</v>
      </c>
      <c r="G23" s="7"/>
    </row>
    <row r="24" spans="1:10" x14ac:dyDescent="0.25">
      <c r="A24" s="35" t="s">
        <v>27</v>
      </c>
      <c r="B24" s="8" t="s">
        <v>2</v>
      </c>
      <c r="C24" s="8" t="s">
        <v>13</v>
      </c>
      <c r="E24" s="10" t="s">
        <v>12</v>
      </c>
      <c r="F24" s="9" t="s">
        <v>2</v>
      </c>
      <c r="G24" s="9" t="s">
        <v>0</v>
      </c>
      <c r="H24" s="9" t="s">
        <v>1</v>
      </c>
      <c r="I24" s="9" t="s">
        <v>10</v>
      </c>
      <c r="J24" s="9" t="s">
        <v>3</v>
      </c>
    </row>
    <row r="25" spans="1:10" x14ac:dyDescent="0.25">
      <c r="A25" s="72"/>
      <c r="B25" s="73">
        <v>0</v>
      </c>
      <c r="C25" s="77"/>
      <c r="E25" s="53" t="s">
        <v>8</v>
      </c>
      <c r="F25" s="68">
        <v>500</v>
      </c>
      <c r="G25" s="66">
        <v>44207</v>
      </c>
      <c r="H25" s="66">
        <v>44209</v>
      </c>
      <c r="I25" s="53">
        <f t="shared" ref="I25:I30" si="0">IF(H25="","Sem data",IF(H25-G25&lt;0,"Pago antes do vencimento",H25-G25))</f>
        <v>2</v>
      </c>
      <c r="J25" s="53" t="str">
        <f t="shared" ref="J25" si="1">IF(I25:I30="Sem data","Pagar","Pago")</f>
        <v>Pago</v>
      </c>
    </row>
    <row r="26" spans="1:10" x14ac:dyDescent="0.25">
      <c r="A26" s="47" t="s">
        <v>32</v>
      </c>
      <c r="B26" s="87">
        <f>SUM(Tabela74619273745536169778593[Valor])</f>
        <v>0</v>
      </c>
      <c r="E26" s="53" t="s">
        <v>4</v>
      </c>
      <c r="F26" s="68">
        <v>196</v>
      </c>
      <c r="G26" s="66">
        <v>44525</v>
      </c>
      <c r="H26" s="66">
        <v>44534</v>
      </c>
      <c r="I26" s="53">
        <f>IF(H26="","Sem data",IF(H26-G26&lt;0,"Pago antes do vencimento",H26-G26))</f>
        <v>9</v>
      </c>
      <c r="J26" s="53" t="str">
        <f>IF(I26:I31="Sem data","Pagar","Pago")</f>
        <v>Pago</v>
      </c>
    </row>
    <row r="27" spans="1:10" x14ac:dyDescent="0.25">
      <c r="A27" s="47" t="s">
        <v>37</v>
      </c>
      <c r="B27" s="88">
        <f>AVERAGE(Tabela74619273745536169778593[Valor])</f>
        <v>0</v>
      </c>
      <c r="E27" s="53" t="s">
        <v>9</v>
      </c>
      <c r="F27" s="68">
        <v>314.8</v>
      </c>
      <c r="G27" s="66"/>
      <c r="H27" s="66"/>
      <c r="I27" s="53" t="str">
        <f t="shared" si="0"/>
        <v>Sem data</v>
      </c>
      <c r="J27" s="53" t="str">
        <f>IF(I27:I32="Sem data","Pagar","Pago")</f>
        <v>Pagar</v>
      </c>
    </row>
    <row r="28" spans="1:10" x14ac:dyDescent="0.25">
      <c r="E28" s="53" t="s">
        <v>6</v>
      </c>
      <c r="F28" s="68">
        <v>128</v>
      </c>
      <c r="G28" s="66"/>
      <c r="H28" s="66"/>
      <c r="I28" s="53" t="str">
        <f>IF(H28="","Sem data",IF(H28-G28&lt;0,"Pago antes do vencimento",H28-G28))</f>
        <v>Sem data</v>
      </c>
      <c r="J28" s="53" t="str">
        <f>IF(I28:I33="Sem data","Pagar","Pago")</f>
        <v>Pagar</v>
      </c>
    </row>
    <row r="29" spans="1:10" x14ac:dyDescent="0.25">
      <c r="E29" s="53" t="s">
        <v>5</v>
      </c>
      <c r="F29" s="68">
        <v>101</v>
      </c>
      <c r="G29" s="66">
        <v>44510</v>
      </c>
      <c r="H29" s="66">
        <v>44520</v>
      </c>
      <c r="I29" s="53">
        <f t="shared" si="0"/>
        <v>10</v>
      </c>
      <c r="J29" s="53" t="str">
        <f>IF(I29:I34="Sem data","Pagar","Pago")</f>
        <v>Pago</v>
      </c>
    </row>
    <row r="30" spans="1:10" x14ac:dyDescent="0.25">
      <c r="E30" s="53" t="s">
        <v>33</v>
      </c>
      <c r="F30" s="68">
        <v>167</v>
      </c>
      <c r="G30" s="66"/>
      <c r="H30" s="66"/>
      <c r="I30" s="53" t="str">
        <f t="shared" si="0"/>
        <v>Sem data</v>
      </c>
      <c r="J30" s="53" t="str">
        <f>IF(I30:I35="Sem data","Pagar","Pago")</f>
        <v>Pagar</v>
      </c>
    </row>
    <row r="31" spans="1:10" x14ac:dyDescent="0.25">
      <c r="E31" s="47" t="s">
        <v>32</v>
      </c>
      <c r="F31" s="43">
        <f>SUM(Tabela3210212939475563717987[Valor])</f>
        <v>1406.8</v>
      </c>
    </row>
    <row r="32" spans="1:10" x14ac:dyDescent="0.25">
      <c r="A32" s="3"/>
      <c r="B32" s="41"/>
      <c r="C32" s="3"/>
      <c r="E32" s="47" t="s">
        <v>36</v>
      </c>
      <c r="F32" s="43">
        <f>AVERAGE(Tabela3210212939475563717987[Valor])</f>
        <v>234.46666666666667</v>
      </c>
    </row>
    <row r="33" spans="1:10" x14ac:dyDescent="0.25">
      <c r="A33" s="3"/>
      <c r="B33" s="41"/>
      <c r="C33" s="3"/>
    </row>
    <row r="34" spans="1:10" x14ac:dyDescent="0.25">
      <c r="A34" s="3"/>
      <c r="B34" s="41"/>
      <c r="C34" s="2"/>
    </row>
    <row r="35" spans="1:10" ht="15.75" x14ac:dyDescent="0.25">
      <c r="F35" t="s">
        <v>72</v>
      </c>
      <c r="G35" s="46"/>
    </row>
    <row r="36" spans="1:10" s="3" customFormat="1" x14ac:dyDescent="0.25">
      <c r="E36" s="16" t="s">
        <v>40</v>
      </c>
      <c r="F36" s="8" t="s">
        <v>2</v>
      </c>
      <c r="G36" s="8" t="s">
        <v>1</v>
      </c>
      <c r="H36" s="8" t="s">
        <v>11</v>
      </c>
      <c r="I36" s="8" t="s">
        <v>22</v>
      </c>
      <c r="J36" s="8" t="s">
        <v>3</v>
      </c>
    </row>
    <row r="37" spans="1:10" s="3" customFormat="1" x14ac:dyDescent="0.25">
      <c r="A37" s="35" t="s">
        <v>42</v>
      </c>
      <c r="B37" s="8" t="s">
        <v>2</v>
      </c>
      <c r="C37" s="8" t="s">
        <v>13</v>
      </c>
      <c r="E37" s="99"/>
      <c r="F37" s="68">
        <v>0</v>
      </c>
      <c r="G37" s="100"/>
      <c r="H37" s="80"/>
      <c r="I37" s="80"/>
      <c r="J37" s="80"/>
    </row>
    <row r="38" spans="1:10" s="3" customFormat="1" x14ac:dyDescent="0.25">
      <c r="A38" s="72"/>
      <c r="B38" s="73">
        <v>0</v>
      </c>
      <c r="C38" s="77"/>
      <c r="E38" s="47" t="s">
        <v>32</v>
      </c>
      <c r="F38" s="88">
        <f>SUM(Tabela412233141495765738189[Valor])</f>
        <v>0</v>
      </c>
      <c r="G38"/>
      <c r="H38"/>
      <c r="I38"/>
      <c r="J38"/>
    </row>
    <row r="39" spans="1:10" x14ac:dyDescent="0.25">
      <c r="A39" s="47" t="s">
        <v>32</v>
      </c>
      <c r="B39" s="88">
        <f>SUM(Tabela717253443515967758391[Valor])</f>
        <v>0</v>
      </c>
      <c r="E39" s="47" t="s">
        <v>37</v>
      </c>
      <c r="F39" s="88">
        <f>AVERAGE(Tabela412233141495765738189[Valor])</f>
        <v>0</v>
      </c>
    </row>
    <row r="40" spans="1:10" x14ac:dyDescent="0.25">
      <c r="A40" s="47" t="s">
        <v>38</v>
      </c>
      <c r="B40" s="88">
        <f>AVERAGE(Tabela717253443515967758391[Valor])</f>
        <v>0</v>
      </c>
    </row>
    <row r="41" spans="1:10" x14ac:dyDescent="0.25">
      <c r="E41" s="44"/>
      <c r="F41" s="41"/>
    </row>
    <row r="42" spans="1:10" x14ac:dyDescent="0.25">
      <c r="A42" s="44"/>
      <c r="B42" s="41"/>
      <c r="C42" s="3"/>
      <c r="E42" s="44"/>
      <c r="F42" s="41"/>
    </row>
    <row r="43" spans="1:10" x14ac:dyDescent="0.25">
      <c r="E43" s="44"/>
      <c r="F43" s="41" t="s">
        <v>72</v>
      </c>
    </row>
    <row r="44" spans="1:10" ht="15.75" x14ac:dyDescent="0.25">
      <c r="E44" s="36" t="s">
        <v>7</v>
      </c>
      <c r="F44" s="8" t="s">
        <v>2</v>
      </c>
      <c r="G44" s="8" t="s">
        <v>14</v>
      </c>
      <c r="H44" s="8" t="s">
        <v>13</v>
      </c>
    </row>
    <row r="45" spans="1:10" ht="15.75" x14ac:dyDescent="0.25">
      <c r="A45" s="36" t="s">
        <v>43</v>
      </c>
      <c r="B45" s="8" t="s">
        <v>2</v>
      </c>
      <c r="C45" s="8" t="s">
        <v>13</v>
      </c>
      <c r="E45" s="24"/>
      <c r="F45" s="68">
        <v>0</v>
      </c>
      <c r="G45" s="53"/>
      <c r="H45" s="66"/>
    </row>
    <row r="46" spans="1:10" x14ac:dyDescent="0.25">
      <c r="A46" s="101"/>
      <c r="B46" s="73">
        <v>0</v>
      </c>
      <c r="C46" s="77"/>
      <c r="E46" s="47" t="s">
        <v>32</v>
      </c>
      <c r="F46" s="88">
        <f>SUM(Tabela613243242505866748290[Valor])</f>
        <v>0</v>
      </c>
    </row>
    <row r="47" spans="1:10" x14ac:dyDescent="0.25">
      <c r="A47" s="47" t="s">
        <v>32</v>
      </c>
      <c r="B47" s="87">
        <f>SUM(B46:B46)</f>
        <v>0</v>
      </c>
      <c r="E47" s="47" t="s">
        <v>38</v>
      </c>
      <c r="F47" s="88">
        <f>AVERAGE(Tabela613243242505866748290[Valor])</f>
        <v>0</v>
      </c>
    </row>
    <row r="48" spans="1:10" x14ac:dyDescent="0.25">
      <c r="A48" s="47" t="s">
        <v>38</v>
      </c>
      <c r="B48" s="87">
        <f>AVERAGE(Tabela7418263544526068768492[Valor])</f>
        <v>0</v>
      </c>
    </row>
    <row r="52" spans="2:14" x14ac:dyDescent="0.25">
      <c r="B52" s="14"/>
      <c r="C52" s="14"/>
    </row>
    <row r="53" spans="2:14" x14ac:dyDescent="0.25">
      <c r="B53" s="14"/>
      <c r="C53" s="14"/>
      <c r="I53" s="14"/>
      <c r="J53" s="14"/>
    </row>
    <row r="54" spans="2:14" ht="18.75" x14ac:dyDescent="0.3">
      <c r="B54" s="14"/>
      <c r="C54" s="14"/>
      <c r="I54" s="17"/>
      <c r="J54" s="14"/>
    </row>
    <row r="55" spans="2:14" x14ac:dyDescent="0.25">
      <c r="B55" s="14"/>
      <c r="C55" s="14"/>
      <c r="H55" s="14"/>
      <c r="I55" s="5"/>
      <c r="J55" s="5"/>
    </row>
    <row r="56" spans="2:14" x14ac:dyDescent="0.25">
      <c r="B56" s="14"/>
      <c r="C56" s="14"/>
      <c r="H56" s="14"/>
      <c r="I56" s="14"/>
      <c r="J56" s="14"/>
    </row>
    <row r="57" spans="2:14" x14ac:dyDescent="0.25">
      <c r="B57" s="14"/>
      <c r="C57" s="14"/>
      <c r="H57" s="14"/>
      <c r="I57" s="14"/>
      <c r="J57" s="14"/>
    </row>
    <row r="58" spans="2:14" ht="15" customHeight="1" x14ac:dyDescent="0.25">
      <c r="B58" s="14"/>
      <c r="C58" s="14"/>
      <c r="H58" s="49"/>
      <c r="I58" s="14"/>
      <c r="J58" s="14"/>
    </row>
    <row r="59" spans="2:14" ht="15" customHeight="1" x14ac:dyDescent="0.25">
      <c r="B59" s="14"/>
      <c r="C59" s="14"/>
      <c r="H59" s="14"/>
      <c r="I59" s="14"/>
      <c r="J59" s="14"/>
    </row>
    <row r="60" spans="2:14" ht="15" customHeight="1" x14ac:dyDescent="0.25">
      <c r="B60" s="14"/>
      <c r="C60" s="14"/>
      <c r="D60" s="14"/>
      <c r="H60" s="14"/>
      <c r="I60" s="14"/>
      <c r="J60" s="14"/>
      <c r="K60" s="14"/>
      <c r="L60" s="14"/>
      <c r="M60" s="14"/>
      <c r="N60" s="14"/>
    </row>
    <row r="61" spans="2:14" ht="13.5" customHeight="1" x14ac:dyDescent="0.25">
      <c r="B61" s="14"/>
      <c r="C61" s="14"/>
      <c r="D61" s="14"/>
      <c r="H61" s="14"/>
      <c r="I61" s="14"/>
      <c r="J61" s="14"/>
      <c r="K61" s="14"/>
      <c r="L61" s="14"/>
      <c r="M61" s="14"/>
      <c r="N61" s="14"/>
    </row>
    <row r="62" spans="2:14" ht="16.5" customHeight="1" x14ac:dyDescent="0.25">
      <c r="B62" s="14"/>
      <c r="C62" s="14"/>
      <c r="D62" s="14"/>
      <c r="H62" s="14"/>
      <c r="I62" s="14"/>
      <c r="J62" s="14"/>
      <c r="K62" s="14"/>
      <c r="L62" s="14"/>
      <c r="M62" s="14"/>
      <c r="N62" s="14"/>
    </row>
    <row r="63" spans="2:14" ht="15" customHeight="1" x14ac:dyDescent="0.25">
      <c r="B63" s="14"/>
      <c r="C63" s="14"/>
      <c r="D63" s="14"/>
      <c r="H63" s="14"/>
      <c r="I63" s="49"/>
      <c r="J63" s="49"/>
      <c r="K63" s="14"/>
      <c r="L63" s="14"/>
      <c r="M63" s="14"/>
      <c r="N63" s="14"/>
    </row>
    <row r="64" spans="2:14" ht="15" customHeight="1" x14ac:dyDescent="0.25">
      <c r="D64" s="14"/>
      <c r="H64" s="14"/>
      <c r="I64" s="14"/>
      <c r="J64" s="14"/>
      <c r="K64" s="14"/>
      <c r="L64" s="14"/>
      <c r="M64" s="14"/>
      <c r="N64" s="14"/>
    </row>
    <row r="65" spans="4:14" ht="16.5" customHeight="1" x14ac:dyDescent="0.25">
      <c r="D65" s="14"/>
      <c r="H65" s="14"/>
      <c r="I65" s="14"/>
      <c r="J65" s="14"/>
      <c r="K65" s="14"/>
      <c r="L65" s="14"/>
      <c r="M65" s="14"/>
      <c r="N65" s="14"/>
    </row>
    <row r="66" spans="4:14" ht="18" customHeight="1" x14ac:dyDescent="0.25">
      <c r="D66" s="14"/>
      <c r="H66" s="14"/>
      <c r="I66" s="14"/>
      <c r="J66" s="14"/>
      <c r="K66" s="14"/>
      <c r="L66" s="14"/>
      <c r="M66" s="14"/>
      <c r="N66" s="14"/>
    </row>
    <row r="67" spans="4:14" ht="15.75" customHeight="1" x14ac:dyDescent="0.25">
      <c r="D67" s="14"/>
      <c r="H67" s="14"/>
      <c r="I67" s="14"/>
      <c r="J67" s="14"/>
      <c r="K67" s="14"/>
      <c r="L67" s="14"/>
      <c r="M67" s="14"/>
      <c r="N67" s="14"/>
    </row>
    <row r="68" spans="4:14" ht="15" customHeight="1" x14ac:dyDescent="0.25">
      <c r="D68" s="14"/>
      <c r="H68" s="14"/>
      <c r="I68" s="14"/>
      <c r="J68" s="14"/>
      <c r="K68" s="14"/>
      <c r="L68" s="14"/>
      <c r="M68" s="14"/>
      <c r="N68" s="14"/>
    </row>
    <row r="69" spans="4:14" ht="15" customHeight="1" x14ac:dyDescent="0.25">
      <c r="D69" s="14"/>
      <c r="H69" s="14"/>
      <c r="I69" s="14"/>
      <c r="J69" s="14"/>
      <c r="K69" s="14"/>
      <c r="L69" s="14"/>
      <c r="M69" s="14"/>
      <c r="N69" s="14"/>
    </row>
    <row r="70" spans="4:14" ht="15" customHeight="1" x14ac:dyDescent="0.25">
      <c r="D70" s="49"/>
      <c r="E70" s="14"/>
      <c r="F70" s="14"/>
      <c r="G70" s="14"/>
      <c r="H70" s="14"/>
      <c r="I70" s="14"/>
      <c r="J70" s="14"/>
      <c r="K70" s="14"/>
      <c r="L70" s="116"/>
      <c r="M70" s="116"/>
      <c r="N70" s="116"/>
    </row>
    <row r="71" spans="4:14" ht="15" customHeight="1" x14ac:dyDescent="0.25">
      <c r="D71" s="14"/>
      <c r="E71" s="14"/>
      <c r="F71" s="14"/>
      <c r="G71" s="14"/>
      <c r="H71" s="14"/>
      <c r="I71" s="14"/>
      <c r="J71" s="14"/>
      <c r="K71" s="14"/>
      <c r="L71" s="14"/>
      <c r="M71" s="14"/>
      <c r="N71" s="14"/>
    </row>
    <row r="72" spans="4:14" ht="15" customHeight="1" x14ac:dyDescent="0.25">
      <c r="D72" s="14"/>
      <c r="E72" s="14"/>
      <c r="F72" s="14"/>
      <c r="G72" s="14"/>
      <c r="H72" s="14"/>
      <c r="I72" s="14"/>
      <c r="J72" s="14"/>
      <c r="K72" s="14"/>
      <c r="L72" s="14"/>
      <c r="M72" s="14"/>
      <c r="N72" s="14"/>
    </row>
    <row r="73" spans="4:14" ht="15" customHeight="1" x14ac:dyDescent="0.25">
      <c r="D73" s="14"/>
      <c r="I73" s="14"/>
      <c r="J73" s="14"/>
      <c r="K73" s="14"/>
      <c r="L73" s="14"/>
      <c r="M73" s="14"/>
      <c r="N73" s="14"/>
    </row>
    <row r="74" spans="4:14" ht="15" customHeight="1" x14ac:dyDescent="0.25">
      <c r="D74" s="14"/>
      <c r="I74" s="14"/>
      <c r="J74" s="14"/>
      <c r="K74" s="14"/>
      <c r="L74" s="14"/>
      <c r="M74" s="14"/>
      <c r="N74" s="14"/>
    </row>
    <row r="75" spans="4:14" ht="15" customHeight="1" x14ac:dyDescent="0.25">
      <c r="D75" s="14"/>
      <c r="I75" s="14"/>
      <c r="J75" s="14"/>
      <c r="K75" s="14"/>
      <c r="L75" s="14"/>
      <c r="M75" s="14"/>
      <c r="N75" s="14"/>
    </row>
    <row r="76" spans="4:14" ht="15" customHeight="1" x14ac:dyDescent="0.25">
      <c r="D76" s="14"/>
      <c r="I76" s="14"/>
      <c r="J76" s="14"/>
      <c r="K76" s="14"/>
      <c r="L76" s="14"/>
      <c r="M76" s="14"/>
      <c r="N76" s="14"/>
    </row>
    <row r="77" spans="4:14" ht="15" customHeight="1" x14ac:dyDescent="0.25">
      <c r="D77" s="14"/>
      <c r="I77" s="14"/>
      <c r="J77" s="14"/>
      <c r="K77" s="14"/>
      <c r="L77" s="14"/>
      <c r="M77" s="14"/>
      <c r="N77" s="14"/>
    </row>
    <row r="78" spans="4:14" ht="15" customHeight="1" x14ac:dyDescent="0.25">
      <c r="D78" s="14"/>
      <c r="K78" s="14"/>
      <c r="L78" s="14"/>
      <c r="M78" s="14"/>
      <c r="N78" s="14"/>
    </row>
    <row r="79" spans="4:14" ht="15" customHeight="1" x14ac:dyDescent="0.25">
      <c r="D79" s="14"/>
      <c r="K79" s="14"/>
      <c r="L79" s="14"/>
      <c r="M79" s="14"/>
      <c r="N79" s="14"/>
    </row>
    <row r="80" spans="4:14" ht="15" customHeight="1" x14ac:dyDescent="0.25">
      <c r="D80" s="14"/>
      <c r="K80" s="14"/>
      <c r="L80" s="14"/>
      <c r="M80" s="14"/>
      <c r="N80" s="14"/>
    </row>
    <row r="81" spans="4:14" ht="15" customHeight="1" x14ac:dyDescent="0.25">
      <c r="D81" s="14"/>
      <c r="K81" s="14"/>
      <c r="L81" s="14"/>
      <c r="M81" s="14"/>
      <c r="N81" s="14"/>
    </row>
    <row r="82" spans="4:14" x14ac:dyDescent="0.25">
      <c r="D82" s="14"/>
      <c r="K82" s="14"/>
      <c r="L82" s="14"/>
      <c r="M82" s="14"/>
      <c r="N82" s="14"/>
    </row>
    <row r="83" spans="4:14" x14ac:dyDescent="0.25">
      <c r="D83" s="14"/>
      <c r="K83" s="14"/>
      <c r="L83" s="14"/>
      <c r="M83" s="14"/>
      <c r="N83" s="14"/>
    </row>
    <row r="84" spans="4:14" x14ac:dyDescent="0.25">
      <c r="D84" s="14"/>
      <c r="K84" s="14"/>
      <c r="L84" s="14"/>
      <c r="M84" s="14"/>
      <c r="N84" s="14"/>
    </row>
  </sheetData>
  <mergeCells count="2">
    <mergeCell ref="A17:B17"/>
    <mergeCell ref="L70:N70"/>
  </mergeCells>
  <conditionalFormatting sqref="A17">
    <cfRule type="dataBar" priority="4">
      <dataBar>
        <cfvo type="num" val="0"/>
        <cfvo type="num" val="1"/>
        <color theme="4" tint="0.39997558519241921"/>
      </dataBar>
      <extLst>
        <ext xmlns:x14="http://schemas.microsoft.com/office/spreadsheetml/2009/9/main" uri="{B025F937-C7B1-47D3-B67F-A62EFF666E3E}">
          <x14:id>{B347CE4D-31ED-4ECC-9C7A-3AC6596A8EA2}</x14:id>
        </ext>
      </extLst>
    </cfRule>
  </conditionalFormatting>
  <conditionalFormatting sqref="A17:B17">
    <cfRule type="containsText" dxfId="7" priority="5" operator="containsText" text="Mais de 100%">
      <formula>NOT(ISERROR(SEARCH("Mais de 100%",A17)))</formula>
    </cfRule>
  </conditionalFormatting>
  <conditionalFormatting sqref="J25:J30">
    <cfRule type="containsText" dxfId="6" priority="2" operator="containsText" text="Pagar">
      <formula>NOT(ISERROR(SEARCH("Pagar",J25)))</formula>
    </cfRule>
  </conditionalFormatting>
  <conditionalFormatting sqref="B14">
    <cfRule type="cellIs" dxfId="5" priority="1" operator="lessThan">
      <formula>0</formula>
    </cfRule>
  </conditionalFormatting>
  <pageMargins left="0.511811024" right="0.511811024" top="0.78740157499999996" bottom="0.78740157499999996" header="0.31496062000000002" footer="0.31496062000000002"/>
  <pageSetup paperSize="9" orientation="portrait" horizontalDpi="0" verticalDpi="0" r:id="rId1"/>
  <ignoredErrors>
    <ignoredError sqref="J25" calculatedColumn="1"/>
  </ignoredErrors>
  <drawing r:id="rId2"/>
  <legacyDrawing r:id="rId3"/>
  <tableParts count="8">
    <tablePart r:id="rId4"/>
    <tablePart r:id="rId5"/>
    <tablePart r:id="rId6"/>
    <tablePart r:id="rId7"/>
    <tablePart r:id="rId8"/>
    <tablePart r:id="rId9"/>
    <tablePart r:id="rId10"/>
    <tablePart r:id="rId11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347CE4D-31ED-4ECC-9C7A-3AC6596A8EA2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A17</xm:sqref>
        </x14:conditionalFormatting>
        <x14:conditionalFormatting xmlns:xm="http://schemas.microsoft.com/office/excel/2006/main">
          <x14:cfRule type="containsText" priority="3" operator="containsText" id="{EFC5FEC2-8838-464D-9453-4072324A9204}">
            <xm:f>NOT(ISERROR(SEARCH(Pagar,J37)))</xm:f>
            <xm:f>Pagar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J37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E19A5F-B93C-4ABA-8DE3-1E26402B2426}">
  <sheetPr codeName="Planilha16"/>
  <dimension ref="A1:XFC84"/>
  <sheetViews>
    <sheetView showGridLines="0" topLeftCell="A22" zoomScale="82" zoomScaleNormal="82" workbookViewId="0">
      <selection activeCell="E42" sqref="E42"/>
    </sheetView>
  </sheetViews>
  <sheetFormatPr defaultColWidth="0" defaultRowHeight="15" x14ac:dyDescent="0.25"/>
  <cols>
    <col min="1" max="1" width="22.42578125" customWidth="1"/>
    <col min="2" max="2" width="16.7109375" customWidth="1"/>
    <col min="3" max="3" width="14.85546875" customWidth="1"/>
    <col min="4" max="4" width="18.140625" customWidth="1"/>
    <col min="5" max="5" width="29.7109375" customWidth="1"/>
    <col min="6" max="6" width="17.140625" customWidth="1"/>
    <col min="7" max="7" width="26" customWidth="1"/>
    <col min="8" max="8" width="25" bestFit="1" customWidth="1"/>
    <col min="9" max="9" width="26.5703125" bestFit="1" customWidth="1"/>
    <col min="10" max="10" width="13" customWidth="1"/>
    <col min="11" max="11" width="12" customWidth="1"/>
    <col min="12" max="12" width="19.5703125" hidden="1" customWidth="1"/>
    <col min="13" max="13" width="16" hidden="1" customWidth="1"/>
    <col min="14" max="14" width="17.85546875" customWidth="1"/>
    <col min="16382" max="16382" width="1.7109375" hidden="1"/>
    <col min="16383" max="16383" width="7.28515625" hidden="1"/>
  </cols>
  <sheetData>
    <row r="1" spans="1:14" s="1" customFormat="1" ht="34.5" customHeight="1" x14ac:dyDescent="0.25">
      <c r="A1" s="12" t="s">
        <v>24</v>
      </c>
      <c r="B1" s="12"/>
      <c r="C1" s="12"/>
      <c r="D1" s="12"/>
      <c r="E1" s="12"/>
      <c r="F1" s="12"/>
      <c r="G1" s="12"/>
      <c r="H1" s="12"/>
      <c r="I1" s="12"/>
      <c r="J1" s="12"/>
      <c r="K1" s="12"/>
      <c r="L1" s="12"/>
      <c r="M1" s="12"/>
      <c r="N1" s="12"/>
    </row>
    <row r="2" spans="1:14" s="1" customFormat="1" ht="18" customHeight="1" x14ac:dyDescent="0.25">
      <c r="A2" s="12"/>
      <c r="B2" s="12"/>
      <c r="C2" s="12"/>
      <c r="D2" s="12"/>
      <c r="E2" s="12"/>
      <c r="F2" s="12"/>
      <c r="G2" s="12"/>
      <c r="H2" s="12"/>
      <c r="I2" s="12"/>
      <c r="J2" s="12"/>
      <c r="K2" s="12"/>
      <c r="L2" s="12"/>
      <c r="M2" s="12"/>
      <c r="N2" s="12"/>
    </row>
    <row r="3" spans="1:14" ht="21.75" customHeight="1" x14ac:dyDescent="0.25">
      <c r="C3" s="3"/>
    </row>
    <row r="4" spans="1:14" ht="21.75" customHeight="1" x14ac:dyDescent="0.3">
      <c r="A4" s="33" t="s">
        <v>45</v>
      </c>
      <c r="B4" s="37" t="s">
        <v>28</v>
      </c>
      <c r="C4" s="3"/>
    </row>
    <row r="5" spans="1:14" ht="15" customHeight="1" x14ac:dyDescent="0.25">
      <c r="A5" t="s">
        <v>25</v>
      </c>
      <c r="B5" s="6">
        <f>1800</f>
        <v>1800</v>
      </c>
      <c r="C5" s="3"/>
    </row>
    <row r="6" spans="1:14" ht="15" customHeight="1" x14ac:dyDescent="0.25">
      <c r="A6" t="s">
        <v>26</v>
      </c>
      <c r="B6" s="6"/>
      <c r="C6" s="3"/>
    </row>
    <row r="7" spans="1:14" ht="15" customHeight="1" x14ac:dyDescent="0.25">
      <c r="A7" t="s">
        <v>27</v>
      </c>
      <c r="B7" s="40">
        <f>B28</f>
        <v>0</v>
      </c>
      <c r="C7" s="3"/>
    </row>
    <row r="8" spans="1:14" ht="15" customHeight="1" x14ac:dyDescent="0.25">
      <c r="A8" t="s">
        <v>29</v>
      </c>
      <c r="B8" s="6"/>
      <c r="C8" s="3"/>
    </row>
    <row r="9" spans="1:14" ht="15" customHeight="1" x14ac:dyDescent="0.25">
      <c r="A9" s="24" t="s">
        <v>32</v>
      </c>
      <c r="B9" s="25">
        <f>SUM(B5:B8)</f>
        <v>1800</v>
      </c>
      <c r="C9" s="3"/>
    </row>
    <row r="10" spans="1:14" ht="15" customHeight="1" x14ac:dyDescent="0.25">
      <c r="C10" s="3"/>
    </row>
    <row r="11" spans="1:14" ht="17.25" customHeight="1" x14ac:dyDescent="0.3">
      <c r="A11" s="34" t="s">
        <v>46</v>
      </c>
      <c r="B11" s="38" t="s">
        <v>30</v>
      </c>
      <c r="C11" s="28"/>
    </row>
    <row r="12" spans="1:14" ht="15" customHeight="1" x14ac:dyDescent="0.25">
      <c r="A12" s="6" t="s">
        <v>34</v>
      </c>
      <c r="B12" s="13">
        <f>B5+B7</f>
        <v>1800</v>
      </c>
      <c r="C12" s="4"/>
    </row>
    <row r="13" spans="1:14" ht="15" customHeight="1" x14ac:dyDescent="0.25">
      <c r="A13" s="26" t="s">
        <v>31</v>
      </c>
      <c r="B13" s="27">
        <f>F32+F44+F59+B43+B58</f>
        <v>1505</v>
      </c>
      <c r="C13" s="4"/>
    </row>
    <row r="14" spans="1:14" ht="15" customHeight="1" x14ac:dyDescent="0.25">
      <c r="A14" s="25" t="s">
        <v>39</v>
      </c>
      <c r="B14" s="48">
        <f>B12-B13</f>
        <v>295</v>
      </c>
      <c r="C14" s="4"/>
    </row>
    <row r="15" spans="1:14" ht="15.75" thickBot="1" x14ac:dyDescent="0.3">
      <c r="C15" s="4"/>
    </row>
    <row r="16" spans="1:14" ht="15.75" x14ac:dyDescent="0.25">
      <c r="A16" s="31" t="s">
        <v>47</v>
      </c>
      <c r="B16" s="32"/>
      <c r="C16" s="29"/>
    </row>
    <row r="17" spans="1:10" ht="15.75" thickBot="1" x14ac:dyDescent="0.3">
      <c r="A17" s="117">
        <f>IF(B13&lt;B12,((B13*100/B12)/100),"Mais de 100% do ganho mensal")</f>
        <v>0.83611111111111114</v>
      </c>
      <c r="B17" s="118"/>
      <c r="C17" s="3"/>
    </row>
    <row r="18" spans="1:10" x14ac:dyDescent="0.25">
      <c r="C18" s="30"/>
    </row>
    <row r="19" spans="1:10" x14ac:dyDescent="0.25">
      <c r="C19" s="30"/>
    </row>
    <row r="20" spans="1:10" x14ac:dyDescent="0.25">
      <c r="C20" s="30"/>
    </row>
    <row r="21" spans="1:10" x14ac:dyDescent="0.25">
      <c r="C21" s="30"/>
    </row>
    <row r="22" spans="1:10" x14ac:dyDescent="0.25">
      <c r="C22" s="30"/>
    </row>
    <row r="23" spans="1:10" x14ac:dyDescent="0.25">
      <c r="C23" s="30"/>
      <c r="G23" s="7"/>
    </row>
    <row r="24" spans="1:10" x14ac:dyDescent="0.25">
      <c r="C24" s="45"/>
    </row>
    <row r="25" spans="1:10" x14ac:dyDescent="0.25">
      <c r="A25" s="35" t="s">
        <v>27</v>
      </c>
      <c r="B25" s="8" t="s">
        <v>2</v>
      </c>
      <c r="C25" s="8" t="s">
        <v>13</v>
      </c>
      <c r="E25" s="10" t="s">
        <v>12</v>
      </c>
      <c r="F25" s="9" t="s">
        <v>2</v>
      </c>
      <c r="G25" s="16" t="s">
        <v>0</v>
      </c>
      <c r="H25" s="9" t="s">
        <v>1</v>
      </c>
      <c r="I25" s="9" t="s">
        <v>10</v>
      </c>
      <c r="J25" s="9" t="s">
        <v>3</v>
      </c>
    </row>
    <row r="26" spans="1:10" x14ac:dyDescent="0.25">
      <c r="A26" s="79"/>
      <c r="B26" s="73">
        <v>0</v>
      </c>
      <c r="C26" s="66"/>
      <c r="E26" s="53" t="s">
        <v>8</v>
      </c>
      <c r="F26" s="68">
        <v>463</v>
      </c>
      <c r="G26" s="66">
        <v>44540</v>
      </c>
      <c r="H26" s="66"/>
      <c r="I26" s="53" t="str">
        <f t="shared" ref="I26:I31" si="0">IF(H26="","Sem data",IF(H26-G26&lt;0,"Pago antes do vencimento",H26-G26))</f>
        <v>Sem data</v>
      </c>
      <c r="J26" s="53" t="str">
        <f>IF(I26:I31="Sem data","Pagar","Pago")</f>
        <v>Pagar</v>
      </c>
    </row>
    <row r="27" spans="1:10" x14ac:dyDescent="0.25">
      <c r="A27" s="107"/>
      <c r="B27" s="73">
        <v>0</v>
      </c>
      <c r="C27" s="66"/>
      <c r="E27" s="53" t="s">
        <v>4</v>
      </c>
      <c r="F27" s="68">
        <v>253</v>
      </c>
      <c r="G27" s="66">
        <v>44555</v>
      </c>
      <c r="H27" s="66"/>
      <c r="I27" s="53" t="str">
        <f>IF(H27="","Sem data",IF(H27-G27&lt;0,"Pago antes do vencimento",H27-G27))</f>
        <v>Sem data</v>
      </c>
      <c r="J27" s="53" t="str">
        <f>IF(I27:I32="Sem data","Pagar","Pago")</f>
        <v>Pagar</v>
      </c>
    </row>
    <row r="28" spans="1:10" x14ac:dyDescent="0.25">
      <c r="A28" s="47" t="s">
        <v>32</v>
      </c>
      <c r="B28" s="23">
        <f>SUM(Tabela74619273745536169778593101[Valor])</f>
        <v>0</v>
      </c>
      <c r="E28" s="53" t="s">
        <v>9</v>
      </c>
      <c r="F28" s="68">
        <v>330</v>
      </c>
      <c r="G28" s="66">
        <v>44539</v>
      </c>
      <c r="H28" s="66">
        <v>44543</v>
      </c>
      <c r="I28" s="53">
        <f t="shared" si="0"/>
        <v>4</v>
      </c>
      <c r="J28" s="53" t="str">
        <f t="shared" ref="J28:J30" si="1">IF(I28:I33="Sem data","Pagar","Pago")</f>
        <v>Pago</v>
      </c>
    </row>
    <row r="29" spans="1:10" x14ac:dyDescent="0.25">
      <c r="A29" s="47" t="s">
        <v>37</v>
      </c>
      <c r="B29" s="15">
        <f>AVERAGE(Tabela74619273745536169778593101[Valor])</f>
        <v>0</v>
      </c>
      <c r="E29" s="53" t="s">
        <v>6</v>
      </c>
      <c r="F29" s="68">
        <v>158</v>
      </c>
      <c r="G29" s="66">
        <v>44208</v>
      </c>
      <c r="H29" s="66"/>
      <c r="I29" s="53" t="str">
        <f>IF(H29="","Sem data",IF(H29-G29&lt;0,"Pago antes do vencimento",H29-G29))</f>
        <v>Sem data</v>
      </c>
      <c r="J29" s="53" t="str">
        <f t="shared" si="1"/>
        <v>Pagar</v>
      </c>
    </row>
    <row r="30" spans="1:10" x14ac:dyDescent="0.25">
      <c r="E30" s="53" t="s">
        <v>5</v>
      </c>
      <c r="F30" s="68">
        <v>120</v>
      </c>
      <c r="G30" s="66">
        <v>44206</v>
      </c>
      <c r="H30" s="66">
        <v>44210</v>
      </c>
      <c r="I30" s="53">
        <f t="shared" si="0"/>
        <v>4</v>
      </c>
      <c r="J30" s="53" t="str">
        <f t="shared" si="1"/>
        <v>Pago</v>
      </c>
    </row>
    <row r="31" spans="1:10" x14ac:dyDescent="0.25">
      <c r="E31" s="53" t="s">
        <v>33</v>
      </c>
      <c r="F31" s="68">
        <v>181</v>
      </c>
      <c r="G31" s="66">
        <v>44555</v>
      </c>
      <c r="H31" s="66">
        <v>44557</v>
      </c>
      <c r="I31" s="53">
        <f t="shared" si="0"/>
        <v>2</v>
      </c>
      <c r="J31" s="53" t="str">
        <f>IF(I31:I36="Sem data","Pagar","Pago")</f>
        <v>Pago</v>
      </c>
    </row>
    <row r="32" spans="1:10" x14ac:dyDescent="0.25">
      <c r="E32" s="47" t="s">
        <v>32</v>
      </c>
      <c r="F32" s="15">
        <f>SUM(Tabela321021293947556371798795[Valor])</f>
        <v>1505</v>
      </c>
    </row>
    <row r="33" spans="1:10" x14ac:dyDescent="0.25">
      <c r="A33" s="3"/>
      <c r="B33" s="41"/>
      <c r="C33" s="3"/>
      <c r="E33" s="47" t="s">
        <v>36</v>
      </c>
      <c r="F33" s="15">
        <f>AVERAGE(Tabela321021293947556371798795[Valor])</f>
        <v>250.83333333333334</v>
      </c>
    </row>
    <row r="34" spans="1:10" x14ac:dyDescent="0.25">
      <c r="A34" s="3"/>
      <c r="B34" s="41"/>
      <c r="C34" s="3"/>
    </row>
    <row r="35" spans="1:10" ht="15.75" x14ac:dyDescent="0.25">
      <c r="A35" s="3"/>
      <c r="B35" s="41"/>
      <c r="C35" s="2"/>
      <c r="G35" s="46"/>
    </row>
    <row r="36" spans="1:10" s="3" customFormat="1" x14ac:dyDescent="0.25">
      <c r="A36" s="35" t="s">
        <v>42</v>
      </c>
      <c r="B36" s="8" t="s">
        <v>2</v>
      </c>
      <c r="C36" s="8" t="s">
        <v>13</v>
      </c>
    </row>
    <row r="37" spans="1:10" s="3" customFormat="1" x14ac:dyDescent="0.25">
      <c r="A37" s="79"/>
      <c r="B37" s="73">
        <v>0</v>
      </c>
      <c r="C37" s="66"/>
      <c r="E37" s="16" t="s">
        <v>40</v>
      </c>
      <c r="F37" s="8" t="s">
        <v>2</v>
      </c>
      <c r="G37" s="8" t="s">
        <v>1</v>
      </c>
      <c r="H37" s="8" t="s">
        <v>11</v>
      </c>
      <c r="I37" s="8" t="s">
        <v>22</v>
      </c>
      <c r="J37" s="8" t="s">
        <v>3</v>
      </c>
    </row>
    <row r="38" spans="1:10" s="3" customFormat="1" x14ac:dyDescent="0.25">
      <c r="A38" s="79"/>
      <c r="B38" s="73">
        <v>0</v>
      </c>
      <c r="C38" s="66"/>
      <c r="E38" s="53" t="s">
        <v>88</v>
      </c>
      <c r="F38" s="68">
        <v>0</v>
      </c>
      <c r="G38" s="66"/>
      <c r="H38" s="53"/>
      <c r="I38" s="53"/>
      <c r="J38" s="53" t="s">
        <v>20</v>
      </c>
    </row>
    <row r="39" spans="1:10" x14ac:dyDescent="0.25">
      <c r="A39" s="79"/>
      <c r="B39" s="73">
        <v>0</v>
      </c>
      <c r="C39" s="66"/>
      <c r="E39" s="53" t="s">
        <v>89</v>
      </c>
      <c r="F39" s="68">
        <v>0</v>
      </c>
      <c r="G39" s="66"/>
      <c r="H39" s="53"/>
      <c r="I39" s="53"/>
      <c r="J39" s="53" t="s">
        <v>20</v>
      </c>
    </row>
    <row r="40" spans="1:10" x14ac:dyDescent="0.25">
      <c r="A40" s="81"/>
      <c r="B40" s="73">
        <v>0</v>
      </c>
      <c r="C40" s="66"/>
      <c r="E40" s="53"/>
      <c r="F40" s="68">
        <v>0</v>
      </c>
      <c r="G40" s="66"/>
      <c r="H40" s="53"/>
      <c r="I40" s="53"/>
      <c r="J40" s="53" t="s">
        <v>20</v>
      </c>
    </row>
    <row r="41" spans="1:10" x14ac:dyDescent="0.25">
      <c r="A41" s="81"/>
      <c r="B41" s="73">
        <v>0</v>
      </c>
      <c r="C41" s="66"/>
      <c r="E41" s="53"/>
      <c r="F41" s="68">
        <v>0</v>
      </c>
      <c r="G41" s="66"/>
      <c r="H41" s="53"/>
      <c r="I41" s="53"/>
      <c r="J41" s="53"/>
    </row>
    <row r="42" spans="1:10" x14ac:dyDescent="0.25">
      <c r="A42" s="108"/>
      <c r="B42" s="109">
        <v>0</v>
      </c>
      <c r="C42" s="110"/>
      <c r="E42" s="53"/>
      <c r="F42" s="68">
        <v>0</v>
      </c>
      <c r="G42" s="66"/>
      <c r="H42" s="53"/>
      <c r="I42" s="53"/>
      <c r="J42" s="53"/>
    </row>
    <row r="43" spans="1:10" x14ac:dyDescent="0.25">
      <c r="A43" s="47" t="s">
        <v>32</v>
      </c>
      <c r="B43" s="43">
        <f>SUM(Tabela71725344351596775839199[Valor])</f>
        <v>0</v>
      </c>
      <c r="E43" s="53"/>
      <c r="F43" s="68">
        <v>0</v>
      </c>
      <c r="G43" s="66"/>
      <c r="H43" s="53"/>
      <c r="I43" s="53"/>
      <c r="J43" s="53"/>
    </row>
    <row r="44" spans="1:10" x14ac:dyDescent="0.25">
      <c r="A44" s="47" t="s">
        <v>38</v>
      </c>
      <c r="B44" s="15">
        <f>AVERAGE(Tabela71725344351596775839199[Valor])</f>
        <v>0</v>
      </c>
      <c r="E44" s="47" t="s">
        <v>32</v>
      </c>
      <c r="F44" s="15">
        <f>SUM(Tabela41223314149576573818997[Valor])</f>
        <v>0</v>
      </c>
    </row>
    <row r="45" spans="1:10" x14ac:dyDescent="0.25">
      <c r="E45" s="47" t="s">
        <v>37</v>
      </c>
      <c r="F45" s="15">
        <f>AVERAGE(Tabela41223314149576573818997[Valor])</f>
        <v>0</v>
      </c>
    </row>
    <row r="46" spans="1:10" x14ac:dyDescent="0.25">
      <c r="E46" s="44"/>
      <c r="F46" s="41"/>
    </row>
    <row r="47" spans="1:10" x14ac:dyDescent="0.25">
      <c r="E47" s="44"/>
      <c r="F47" s="41"/>
    </row>
    <row r="48" spans="1:10" x14ac:dyDescent="0.25">
      <c r="A48" s="44"/>
      <c r="B48" s="41"/>
      <c r="C48" s="3"/>
      <c r="E48" s="44"/>
      <c r="F48" s="41"/>
    </row>
    <row r="51" spans="1:14" ht="15.75" x14ac:dyDescent="0.25">
      <c r="A51" s="36" t="s">
        <v>43</v>
      </c>
      <c r="B51" s="8" t="s">
        <v>2</v>
      </c>
      <c r="C51" s="8" t="s">
        <v>13</v>
      </c>
    </row>
    <row r="52" spans="1:14" ht="15.75" x14ac:dyDescent="0.25">
      <c r="A52" s="79"/>
      <c r="B52" s="73">
        <v>0</v>
      </c>
      <c r="C52" s="66"/>
      <c r="E52" s="36" t="s">
        <v>7</v>
      </c>
      <c r="F52" s="8" t="s">
        <v>2</v>
      </c>
      <c r="G52" s="8" t="s">
        <v>14</v>
      </c>
      <c r="H52" s="8" t="s">
        <v>13</v>
      </c>
    </row>
    <row r="53" spans="1:14" x14ac:dyDescent="0.25">
      <c r="A53" s="79"/>
      <c r="B53" s="73">
        <v>0</v>
      </c>
      <c r="C53" s="66"/>
      <c r="E53" s="53"/>
      <c r="F53" s="68">
        <v>0</v>
      </c>
      <c r="G53" s="53"/>
      <c r="H53" s="66"/>
    </row>
    <row r="54" spans="1:14" x14ac:dyDescent="0.25">
      <c r="A54" s="79"/>
      <c r="B54" s="73">
        <v>0</v>
      </c>
      <c r="C54" s="66"/>
      <c r="E54" s="53"/>
      <c r="F54" s="68">
        <v>0</v>
      </c>
      <c r="G54" s="53"/>
      <c r="H54" s="66"/>
    </row>
    <row r="55" spans="1:14" x14ac:dyDescent="0.25">
      <c r="A55" s="81"/>
      <c r="B55" s="73">
        <v>0</v>
      </c>
      <c r="C55" s="66"/>
      <c r="E55" s="53"/>
      <c r="F55" s="68">
        <v>0</v>
      </c>
      <c r="G55" s="53"/>
      <c r="H55" s="66"/>
    </row>
    <row r="56" spans="1:14" x14ac:dyDescent="0.25">
      <c r="A56" s="81"/>
      <c r="B56" s="73">
        <v>0</v>
      </c>
      <c r="C56" s="66"/>
      <c r="E56" s="53"/>
      <c r="F56" s="68">
        <v>0</v>
      </c>
      <c r="G56" s="53"/>
      <c r="H56" s="66"/>
    </row>
    <row r="57" spans="1:14" x14ac:dyDescent="0.25">
      <c r="A57" s="81"/>
      <c r="B57" s="73">
        <v>0</v>
      </c>
      <c r="C57" s="66"/>
      <c r="E57" s="53"/>
      <c r="F57" s="68">
        <v>0</v>
      </c>
      <c r="G57" s="53"/>
      <c r="H57" s="66"/>
    </row>
    <row r="58" spans="1:14" ht="15" customHeight="1" x14ac:dyDescent="0.25">
      <c r="A58" s="47" t="s">
        <v>32</v>
      </c>
      <c r="B58" s="23">
        <f>SUM(B52:B57)</f>
        <v>0</v>
      </c>
      <c r="E58" s="53"/>
      <c r="F58" s="68">
        <v>0</v>
      </c>
      <c r="G58" s="53"/>
      <c r="H58" s="66"/>
      <c r="I58" s="14"/>
      <c r="J58" s="14"/>
    </row>
    <row r="59" spans="1:14" ht="15" customHeight="1" x14ac:dyDescent="0.3">
      <c r="A59" s="47" t="s">
        <v>38</v>
      </c>
      <c r="B59" s="19">
        <f>AVERAGE(Tabela7418263544526068768492100[Valor])</f>
        <v>0</v>
      </c>
      <c r="E59" s="47" t="s">
        <v>32</v>
      </c>
      <c r="F59" s="15">
        <f>SUM(Tabela61324324250586674829098[Valor])</f>
        <v>0</v>
      </c>
      <c r="I59" s="17"/>
      <c r="J59" s="14"/>
    </row>
    <row r="60" spans="1:14" ht="15" customHeight="1" x14ac:dyDescent="0.25">
      <c r="D60" s="14"/>
      <c r="E60" s="47" t="s">
        <v>38</v>
      </c>
      <c r="F60" s="15">
        <f>AVERAGE(Tabela61324324250586674829098[Valor])</f>
        <v>0</v>
      </c>
      <c r="I60" s="5"/>
      <c r="J60" s="5"/>
      <c r="K60" s="14"/>
      <c r="L60" s="14"/>
      <c r="M60" s="14"/>
      <c r="N60" s="14"/>
    </row>
    <row r="61" spans="1:14" ht="13.5" customHeight="1" x14ac:dyDescent="0.25">
      <c r="D61" s="14"/>
      <c r="I61" s="14"/>
      <c r="J61" s="14"/>
      <c r="K61" s="14"/>
      <c r="L61" s="14"/>
      <c r="M61" s="14"/>
      <c r="N61" s="14"/>
    </row>
    <row r="62" spans="1:14" ht="16.5" customHeight="1" x14ac:dyDescent="0.25">
      <c r="D62" s="14"/>
      <c r="I62" s="14"/>
      <c r="J62" s="14"/>
      <c r="K62" s="14"/>
      <c r="L62" s="14"/>
      <c r="M62" s="14"/>
      <c r="N62" s="14"/>
    </row>
    <row r="63" spans="1:14" ht="15" customHeight="1" x14ac:dyDescent="0.25">
      <c r="B63" s="14"/>
      <c r="C63" s="14"/>
      <c r="D63" s="14"/>
      <c r="I63" s="14"/>
      <c r="J63" s="14"/>
      <c r="K63" s="14"/>
      <c r="L63" s="14"/>
      <c r="M63" s="14"/>
      <c r="N63" s="14"/>
    </row>
    <row r="64" spans="1:14" ht="15" customHeight="1" x14ac:dyDescent="0.25">
      <c r="B64" s="14"/>
      <c r="C64" s="14"/>
      <c r="D64" s="14"/>
      <c r="I64" s="14"/>
      <c r="J64" s="14"/>
      <c r="K64" s="14"/>
      <c r="L64" s="14"/>
      <c r="M64" s="14"/>
      <c r="N64" s="14"/>
    </row>
    <row r="65" spans="2:14" ht="16.5" customHeight="1" x14ac:dyDescent="0.25">
      <c r="B65" s="14"/>
      <c r="C65" s="14"/>
      <c r="D65" s="14"/>
      <c r="H65" s="14"/>
      <c r="I65" s="14"/>
      <c r="J65" s="14"/>
      <c r="K65" s="14"/>
      <c r="L65" s="14"/>
      <c r="M65" s="14"/>
      <c r="N65" s="14"/>
    </row>
    <row r="66" spans="2:14" ht="18" customHeight="1" x14ac:dyDescent="0.25">
      <c r="B66" s="14"/>
      <c r="C66" s="14"/>
      <c r="D66" s="14"/>
      <c r="H66" s="14"/>
      <c r="I66" s="14"/>
      <c r="J66" s="14"/>
      <c r="K66" s="14"/>
      <c r="L66" s="14"/>
      <c r="M66" s="14"/>
      <c r="N66" s="14"/>
    </row>
    <row r="67" spans="2:14" ht="15.75" customHeight="1" x14ac:dyDescent="0.25">
      <c r="B67" s="14"/>
      <c r="C67" s="14"/>
      <c r="D67" s="14"/>
      <c r="H67" s="14"/>
      <c r="I67" s="14"/>
      <c r="J67" s="14"/>
      <c r="K67" s="14"/>
      <c r="L67" s="14"/>
      <c r="M67" s="14"/>
      <c r="N67" s="14"/>
    </row>
    <row r="68" spans="2:14" ht="15" customHeight="1" x14ac:dyDescent="0.25">
      <c r="B68" s="14"/>
      <c r="C68" s="14"/>
      <c r="D68" s="14"/>
      <c r="H68" s="49"/>
      <c r="I68" s="49"/>
      <c r="J68" s="49"/>
      <c r="K68" s="14"/>
      <c r="L68" s="14"/>
      <c r="M68" s="14"/>
      <c r="N68" s="14"/>
    </row>
    <row r="69" spans="2:14" ht="15" customHeight="1" x14ac:dyDescent="0.25">
      <c r="B69" s="14"/>
      <c r="C69" s="14"/>
      <c r="D69" s="14"/>
      <c r="H69" s="14"/>
      <c r="I69" s="14"/>
      <c r="J69" s="14"/>
      <c r="K69" s="14"/>
      <c r="L69" s="14"/>
      <c r="M69" s="14"/>
      <c r="N69" s="14"/>
    </row>
    <row r="70" spans="2:14" ht="15" customHeight="1" x14ac:dyDescent="0.25">
      <c r="B70" s="14"/>
      <c r="C70" s="14"/>
      <c r="D70" s="49"/>
      <c r="H70" s="14"/>
      <c r="I70" s="14"/>
      <c r="J70" s="14"/>
      <c r="K70" s="14"/>
      <c r="L70" s="116"/>
      <c r="M70" s="116"/>
      <c r="N70" s="116"/>
    </row>
    <row r="71" spans="2:14" ht="15" customHeight="1" x14ac:dyDescent="0.25">
      <c r="B71" s="14"/>
      <c r="C71" s="14"/>
      <c r="D71" s="14"/>
      <c r="H71" s="14"/>
      <c r="I71" s="14"/>
      <c r="J71" s="14"/>
      <c r="K71" s="14"/>
      <c r="L71" s="14"/>
      <c r="M71" s="14"/>
      <c r="N71" s="14"/>
    </row>
    <row r="72" spans="2:14" ht="15" customHeight="1" x14ac:dyDescent="0.25">
      <c r="B72" s="14"/>
      <c r="C72" s="14"/>
      <c r="D72" s="14"/>
      <c r="H72" s="14"/>
      <c r="I72" s="14"/>
      <c r="J72" s="14"/>
      <c r="K72" s="14"/>
      <c r="L72" s="14"/>
      <c r="M72" s="14"/>
      <c r="N72" s="14"/>
    </row>
    <row r="73" spans="2:14" ht="15" customHeight="1" x14ac:dyDescent="0.25">
      <c r="B73" s="14"/>
      <c r="C73" s="14"/>
      <c r="D73" s="14"/>
      <c r="H73" s="14"/>
      <c r="I73" s="14"/>
      <c r="J73" s="14"/>
      <c r="K73" s="14"/>
      <c r="L73" s="14"/>
      <c r="M73" s="14"/>
      <c r="N73" s="14"/>
    </row>
    <row r="74" spans="2:14" ht="15" customHeight="1" x14ac:dyDescent="0.25">
      <c r="B74" s="14"/>
      <c r="C74" s="14"/>
      <c r="D74" s="14"/>
      <c r="H74" s="14"/>
      <c r="I74" s="14"/>
      <c r="J74" s="14"/>
      <c r="K74" s="14"/>
      <c r="L74" s="14"/>
      <c r="M74" s="14"/>
      <c r="N74" s="14"/>
    </row>
    <row r="75" spans="2:14" ht="15" customHeight="1" x14ac:dyDescent="0.25">
      <c r="D75" s="14"/>
      <c r="H75" s="14"/>
      <c r="I75" s="14"/>
      <c r="J75" s="14"/>
      <c r="K75" s="14"/>
      <c r="L75" s="14"/>
      <c r="M75" s="14"/>
      <c r="N75" s="14"/>
    </row>
    <row r="76" spans="2:14" ht="15" customHeight="1" x14ac:dyDescent="0.25">
      <c r="D76" s="14"/>
      <c r="H76" s="14"/>
      <c r="I76" s="14"/>
      <c r="J76" s="14"/>
      <c r="K76" s="14"/>
      <c r="L76" s="14"/>
      <c r="M76" s="14"/>
      <c r="N76" s="14"/>
    </row>
    <row r="77" spans="2:14" ht="15" customHeight="1" x14ac:dyDescent="0.25">
      <c r="D77" s="14"/>
      <c r="H77" s="14"/>
      <c r="I77" s="14"/>
      <c r="J77" s="14"/>
      <c r="K77" s="14"/>
      <c r="L77" s="14"/>
      <c r="M77" s="14"/>
      <c r="N77" s="14"/>
    </row>
    <row r="78" spans="2:14" ht="15" customHeight="1" x14ac:dyDescent="0.25">
      <c r="D78" s="14"/>
      <c r="H78" s="14"/>
      <c r="I78" s="14"/>
      <c r="J78" s="14"/>
      <c r="K78" s="14"/>
      <c r="L78" s="14"/>
      <c r="M78" s="14"/>
      <c r="N78" s="14"/>
    </row>
    <row r="79" spans="2:14" ht="15" customHeight="1" x14ac:dyDescent="0.25">
      <c r="D79" s="14"/>
      <c r="H79" s="14"/>
      <c r="I79" s="14"/>
      <c r="J79" s="14"/>
      <c r="K79" s="14"/>
      <c r="L79" s="14"/>
      <c r="M79" s="14"/>
      <c r="N79" s="14"/>
    </row>
    <row r="80" spans="2:14" ht="15" customHeight="1" x14ac:dyDescent="0.25">
      <c r="D80" s="14"/>
      <c r="E80" s="14"/>
      <c r="F80" s="14"/>
      <c r="G80" s="14"/>
      <c r="H80" s="14"/>
      <c r="I80" s="14"/>
      <c r="J80" s="14"/>
      <c r="K80" s="14"/>
      <c r="L80" s="14"/>
      <c r="M80" s="14"/>
      <c r="N80" s="14"/>
    </row>
    <row r="81" spans="4:14" ht="15" customHeight="1" x14ac:dyDescent="0.25">
      <c r="D81" s="14"/>
      <c r="E81" s="14"/>
      <c r="F81" s="14"/>
      <c r="G81" s="14"/>
      <c r="H81" s="14"/>
      <c r="I81" s="14"/>
      <c r="J81" s="14"/>
      <c r="K81" s="14"/>
      <c r="L81" s="14"/>
      <c r="M81" s="14"/>
      <c r="N81" s="14"/>
    </row>
    <row r="82" spans="4:14" x14ac:dyDescent="0.25">
      <c r="D82" s="14"/>
      <c r="E82" s="14"/>
      <c r="F82" s="14"/>
      <c r="G82" s="14"/>
      <c r="H82" s="14"/>
      <c r="I82" s="14"/>
      <c r="J82" s="14"/>
      <c r="K82" s="14"/>
      <c r="L82" s="14"/>
      <c r="M82" s="14"/>
      <c r="N82" s="14"/>
    </row>
    <row r="83" spans="4:14" x14ac:dyDescent="0.25">
      <c r="D83" s="14"/>
      <c r="K83" s="14"/>
      <c r="L83" s="14"/>
      <c r="M83" s="14"/>
      <c r="N83" s="14"/>
    </row>
    <row r="84" spans="4:14" x14ac:dyDescent="0.25">
      <c r="D84" s="14"/>
      <c r="K84" s="14"/>
      <c r="L84" s="14"/>
      <c r="M84" s="14"/>
      <c r="N84" s="14"/>
    </row>
  </sheetData>
  <mergeCells count="2">
    <mergeCell ref="A17:B17"/>
    <mergeCell ref="L70:N70"/>
  </mergeCells>
  <conditionalFormatting sqref="A17">
    <cfRule type="dataBar" priority="4">
      <dataBar>
        <cfvo type="num" val="0"/>
        <cfvo type="num" val="1"/>
        <color theme="4" tint="0.39997558519241921"/>
      </dataBar>
      <extLst>
        <ext xmlns:x14="http://schemas.microsoft.com/office/spreadsheetml/2009/9/main" uri="{B025F937-C7B1-47D3-B67F-A62EFF666E3E}">
          <x14:id>{061E14C5-BED0-4433-8D60-79877EF7BFE5}</x14:id>
        </ext>
      </extLst>
    </cfRule>
  </conditionalFormatting>
  <conditionalFormatting sqref="A17:B17">
    <cfRule type="containsText" dxfId="3" priority="5" operator="containsText" text="Mais de 100%">
      <formula>NOT(ISERROR(SEARCH("Mais de 100%",A17)))</formula>
    </cfRule>
  </conditionalFormatting>
  <conditionalFormatting sqref="J26:J31">
    <cfRule type="containsText" dxfId="2" priority="2" operator="containsText" text="Pagar">
      <formula>NOT(ISERROR(SEARCH("Pagar",J26)))</formula>
    </cfRule>
  </conditionalFormatting>
  <conditionalFormatting sqref="B14">
    <cfRule type="cellIs" dxfId="1" priority="1" operator="lessThan">
      <formula>0</formula>
    </cfRule>
  </conditionalFormatting>
  <pageMargins left="0.511811024" right="0.511811024" top="0.78740157499999996" bottom="0.78740157499999996" header="0.31496062000000002" footer="0.31496062000000002"/>
  <pageSetup paperSize="9" orientation="portrait" horizontalDpi="0" verticalDpi="0" r:id="rId1"/>
  <drawing r:id="rId2"/>
  <legacyDrawing r:id="rId3"/>
  <tableParts count="8">
    <tablePart r:id="rId4"/>
    <tablePart r:id="rId5"/>
    <tablePart r:id="rId6"/>
    <tablePart r:id="rId7"/>
    <tablePart r:id="rId8"/>
    <tablePart r:id="rId9"/>
    <tablePart r:id="rId10"/>
    <tablePart r:id="rId11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61E14C5-BED0-4433-8D60-79877EF7BFE5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A17</xm:sqref>
        </x14:conditionalFormatting>
        <x14:conditionalFormatting xmlns:xm="http://schemas.microsoft.com/office/excel/2006/main">
          <x14:cfRule type="containsText" priority="3" operator="containsText" id="{98295554-03D0-432C-8E65-1AA5917486DA}">
            <xm:f>NOT(ISERROR(SEARCH(Pagar,J38)))</xm:f>
            <xm:f>Pagar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J38:J43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13</vt:i4>
      </vt:variant>
    </vt:vector>
  </HeadingPairs>
  <TitlesOfParts>
    <vt:vector size="13" baseType="lpstr">
      <vt:lpstr>Resumo</vt:lpstr>
      <vt:lpstr>Jan</vt:lpstr>
      <vt:lpstr>Fev</vt:lpstr>
      <vt:lpstr>Mar</vt:lpstr>
      <vt:lpstr>Abr</vt:lpstr>
      <vt:lpstr>Maio</vt:lpstr>
      <vt:lpstr>Jun</vt:lpstr>
      <vt:lpstr>Jul</vt:lpstr>
      <vt:lpstr>Agt</vt:lpstr>
      <vt:lpstr>Set</vt:lpstr>
      <vt:lpstr>Out</vt:lpstr>
      <vt:lpstr>Nov</vt:lpstr>
      <vt:lpstr>Dez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T-Gamer</dc:creator>
  <cp:lastModifiedBy>T-Gamer</cp:lastModifiedBy>
  <dcterms:created xsi:type="dcterms:W3CDTF">2021-01-02T15:12:55Z</dcterms:created>
  <dcterms:modified xsi:type="dcterms:W3CDTF">2022-03-19T22:32:54Z</dcterms:modified>
</cp:coreProperties>
</file>